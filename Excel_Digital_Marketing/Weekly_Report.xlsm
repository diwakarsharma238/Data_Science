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iwak\Documents\DS\Data_Analyst_Job\01_sales_report_excel\"/>
    </mc:Choice>
  </mc:AlternateContent>
  <xr:revisionPtr revIDLastSave="0" documentId="13_ncr:1_{781D53B6-34C0-4384-A82B-4F07B5F2986D}" xr6:coauthVersionLast="45" xr6:coauthVersionMax="45" xr10:uidLastSave="{00000000-0000-0000-0000-000000000000}"/>
  <bookViews>
    <workbookView xWindow="-108" yWindow="-108" windowWidth="23256" windowHeight="12576" tabRatio="789" activeTab="1" xr2:uid="{00000000-000D-0000-FFFF-FFFF00000000}"/>
  </bookViews>
  <sheets>
    <sheet name="Charts" sheetId="10" r:id="rId1"/>
    <sheet name="Overall_Perf" sheetId="11" r:id="rId2"/>
    <sheet name="Table" sheetId="7" r:id="rId3"/>
    <sheet name="Top_Partner" sheetId="18" r:id="rId4"/>
    <sheet name="Affiliate_Daily" sheetId="15" r:id="rId5"/>
    <sheet name="Affiliate" sheetId="14" r:id="rId6"/>
    <sheet name="Google Analytics" sheetId="19" r:id="rId7"/>
  </sheets>
  <definedNames>
    <definedName name="_xlnm._FilterDatabase" localSheetId="5" hidden="1">Affiliate!$A$1:$AB$580</definedName>
    <definedName name="Slicer_Date1">#N/A</definedName>
    <definedName name="Table1">Affiliate!$A$1:$AB$580</definedName>
  </definedNames>
  <calcPr calcId="191029" concurrentCalc="0"/>
  <pivotCaches>
    <pivotCache cacheId="4"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11" l="1" a="1"/>
  <c r="D6" i="11"/>
  <c r="D11" i="11"/>
  <c r="C6" i="11" a="1"/>
  <c r="C6" i="11"/>
  <c r="C11" i="11"/>
  <c r="J12" i="19"/>
  <c r="D3" i="11"/>
  <c r="D2" i="11"/>
  <c r="C2" i="11"/>
  <c r="C3" i="11"/>
  <c r="D7" i="11" a="1"/>
  <c r="D7" i="11"/>
  <c r="C7" i="11" a="1"/>
  <c r="C7" i="11"/>
  <c r="E7" i="11"/>
  <c r="J7" i="11"/>
  <c r="D8" i="11" a="1"/>
  <c r="D8" i="11"/>
  <c r="C8" i="11" a="1"/>
  <c r="C8" i="11"/>
  <c r="E8" i="11"/>
  <c r="J8" i="11"/>
  <c r="D9" i="11" a="1"/>
  <c r="D9" i="11"/>
  <c r="C9" i="11" a="1"/>
  <c r="C9" i="11"/>
  <c r="E9" i="11"/>
  <c r="J9" i="11"/>
  <c r="C10" i="11"/>
  <c r="D10" i="11"/>
  <c r="E10" i="11"/>
  <c r="J10" i="11"/>
  <c r="E11" i="11"/>
  <c r="J11" i="11"/>
  <c r="E6" i="11"/>
  <c r="J6" i="11"/>
  <c r="I7" i="11"/>
  <c r="I8" i="11"/>
  <c r="I9" i="11"/>
  <c r="I10" i="11"/>
  <c r="I11" i="11"/>
  <c r="I6" i="11"/>
  <c r="B7" i="7"/>
  <c r="D3" i="7"/>
  <c r="D2" i="7"/>
  <c r="C2" i="7"/>
  <c r="C3" i="7"/>
  <c r="I7" i="7" a="1"/>
  <c r="I7" i="7"/>
  <c r="L7" i="7" a="1"/>
  <c r="L7" i="7"/>
  <c r="D7" i="7" a="1"/>
  <c r="D7" i="7"/>
  <c r="B8" i="7"/>
  <c r="G8" i="7" a="1"/>
  <c r="G8" i="7"/>
  <c r="B9" i="7"/>
  <c r="G9" i="7" a="1"/>
  <c r="G9" i="7"/>
  <c r="B10" i="7"/>
  <c r="G10" i="7" a="1"/>
  <c r="G10" i="7"/>
  <c r="B11" i="7"/>
  <c r="G11" i="7" a="1"/>
  <c r="G11" i="7"/>
  <c r="B12" i="7"/>
  <c r="G12" i="7" a="1"/>
  <c r="G12" i="7"/>
  <c r="B13" i="7"/>
  <c r="G13" i="7" a="1"/>
  <c r="G13" i="7"/>
  <c r="B14" i="7"/>
  <c r="G14" i="7" a="1"/>
  <c r="G14" i="7"/>
  <c r="B15" i="7"/>
  <c r="G15" i="7" a="1"/>
  <c r="G15" i="7"/>
  <c r="B16" i="7"/>
  <c r="G16" i="7" a="1"/>
  <c r="G16" i="7"/>
  <c r="J8" i="7" a="1"/>
  <c r="J8" i="7"/>
  <c r="M8" i="7" a="1"/>
  <c r="M8" i="7"/>
  <c r="I8" i="7" a="1"/>
  <c r="I8" i="7"/>
  <c r="L8" i="7" a="1"/>
  <c r="L8" i="7"/>
  <c r="N8" i="7"/>
  <c r="J9" i="7" a="1"/>
  <c r="J9" i="7"/>
  <c r="M9" i="7" a="1"/>
  <c r="M9" i="7"/>
  <c r="I9" i="7" a="1"/>
  <c r="I9" i="7"/>
  <c r="L9" i="7" a="1"/>
  <c r="L9" i="7"/>
  <c r="N9" i="7"/>
  <c r="J10" i="7" a="1"/>
  <c r="J10" i="7"/>
  <c r="M10" i="7" a="1"/>
  <c r="M10" i="7"/>
  <c r="I10" i="7" a="1"/>
  <c r="I10" i="7"/>
  <c r="L10" i="7" a="1"/>
  <c r="L10" i="7"/>
  <c r="N10" i="7"/>
  <c r="J11" i="7" a="1"/>
  <c r="J11" i="7"/>
  <c r="M11" i="7" a="1"/>
  <c r="M11" i="7"/>
  <c r="I11" i="7" a="1"/>
  <c r="I11" i="7"/>
  <c r="L11" i="7" a="1"/>
  <c r="L11" i="7"/>
  <c r="N11" i="7"/>
  <c r="J12" i="7" a="1"/>
  <c r="J12" i="7"/>
  <c r="M12" i="7" a="1"/>
  <c r="M12" i="7"/>
  <c r="I12" i="7" a="1"/>
  <c r="I12" i="7"/>
  <c r="L12" i="7" a="1"/>
  <c r="L12" i="7"/>
  <c r="N12" i="7"/>
  <c r="J13" i="7" a="1"/>
  <c r="J13" i="7"/>
  <c r="M13" i="7" a="1"/>
  <c r="M13" i="7"/>
  <c r="I13" i="7" a="1"/>
  <c r="I13" i="7"/>
  <c r="L13" i="7" a="1"/>
  <c r="L13" i="7"/>
  <c r="N13" i="7"/>
  <c r="J14" i="7" a="1"/>
  <c r="J14" i="7"/>
  <c r="M14" i="7" a="1"/>
  <c r="M14" i="7"/>
  <c r="I14" i="7" a="1"/>
  <c r="I14" i="7"/>
  <c r="L14" i="7" a="1"/>
  <c r="L14" i="7"/>
  <c r="N14" i="7"/>
  <c r="J15" i="7" a="1"/>
  <c r="J15" i="7"/>
  <c r="M15" i="7" a="1"/>
  <c r="M15" i="7"/>
  <c r="I15" i="7" a="1"/>
  <c r="I15" i="7"/>
  <c r="L15" i="7" a="1"/>
  <c r="L15" i="7"/>
  <c r="N15" i="7"/>
  <c r="J16" i="7" a="1"/>
  <c r="J16" i="7"/>
  <c r="M16" i="7" a="1"/>
  <c r="M16" i="7"/>
  <c r="I16" i="7" a="1"/>
  <c r="I16" i="7"/>
  <c r="L16" i="7" a="1"/>
  <c r="L16" i="7"/>
  <c r="N16" i="7"/>
  <c r="J7" i="7" a="1"/>
  <c r="J7" i="7"/>
  <c r="M7" i="7" a="1"/>
  <c r="M7" i="7"/>
  <c r="N7" i="7"/>
  <c r="K8" i="7"/>
  <c r="K9" i="7"/>
  <c r="K10" i="7"/>
  <c r="K11" i="7"/>
  <c r="K12" i="7"/>
  <c r="K13" i="7"/>
  <c r="K14" i="7"/>
  <c r="K15" i="7"/>
  <c r="K16" i="7"/>
  <c r="F8" i="7" a="1"/>
  <c r="F8" i="7"/>
  <c r="H8" i="7"/>
  <c r="F9" i="7" a="1"/>
  <c r="F9" i="7"/>
  <c r="H9" i="7"/>
  <c r="F10" i="7" a="1"/>
  <c r="F10" i="7"/>
  <c r="H10" i="7"/>
  <c r="F11" i="7" a="1"/>
  <c r="F11" i="7"/>
  <c r="H11" i="7"/>
  <c r="F12" i="7" a="1"/>
  <c r="F12" i="7"/>
  <c r="H12" i="7"/>
  <c r="F13" i="7" a="1"/>
  <c r="F13" i="7"/>
  <c r="H13" i="7"/>
  <c r="F14" i="7" a="1"/>
  <c r="F14" i="7"/>
  <c r="H14" i="7"/>
  <c r="F15" i="7" a="1"/>
  <c r="F15" i="7"/>
  <c r="H15" i="7"/>
  <c r="F16" i="7" a="1"/>
  <c r="F16" i="7"/>
  <c r="H16" i="7"/>
  <c r="K7" i="7"/>
  <c r="F7" i="7" a="1"/>
  <c r="F7" i="7"/>
  <c r="G7" i="7" a="1"/>
  <c r="G7" i="7"/>
  <c r="H7" i="7"/>
  <c r="C8" i="7" a="1"/>
  <c r="C8" i="7"/>
  <c r="D8" i="7" a="1"/>
  <c r="D8" i="7"/>
  <c r="E8" i="7"/>
  <c r="C9" i="7" a="1"/>
  <c r="C9" i="7"/>
  <c r="D9" i="7" a="1"/>
  <c r="D9" i="7"/>
  <c r="E9" i="7"/>
  <c r="C10" i="7" a="1"/>
  <c r="C10" i="7"/>
  <c r="D10" i="7" a="1"/>
  <c r="D10" i="7"/>
  <c r="E10" i="7"/>
  <c r="C11" i="7" a="1"/>
  <c r="C11" i="7"/>
  <c r="D11" i="7" a="1"/>
  <c r="D11" i="7"/>
  <c r="E11" i="7"/>
  <c r="C12" i="7" a="1"/>
  <c r="C12" i="7"/>
  <c r="D12" i="7" a="1"/>
  <c r="D12" i="7"/>
  <c r="E12" i="7"/>
  <c r="C13" i="7" a="1"/>
  <c r="C13" i="7"/>
  <c r="D13" i="7" a="1"/>
  <c r="D13" i="7"/>
  <c r="E13" i="7"/>
  <c r="C14" i="7" a="1"/>
  <c r="C14" i="7"/>
  <c r="D14" i="7" a="1"/>
  <c r="D14" i="7"/>
  <c r="E14" i="7"/>
  <c r="C15" i="7" a="1"/>
  <c r="C15" i="7"/>
  <c r="E15" i="7"/>
  <c r="C16" i="7" a="1"/>
  <c r="C16" i="7"/>
  <c r="E16" i="7"/>
  <c r="C7" i="7" a="1"/>
  <c r="C7" i="7"/>
  <c r="E7" i="7"/>
  <c r="D15" i="7" a="1"/>
  <c r="D15" i="7"/>
  <c r="D16" i="7" a="1"/>
  <c r="D16"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<sst xmlns="http://schemas.openxmlformats.org/spreadsheetml/2006/main" count="1888" uniqueCount="319">
  <si>
    <t xml:space="preserve">Date </t>
  </si>
  <si>
    <t>Affiliate</t>
  </si>
  <si>
    <t>Clicks</t>
  </si>
  <si>
    <t>GrossSales</t>
  </si>
  <si>
    <t>Voids</t>
  </si>
  <si>
    <t>NetSales</t>
  </si>
  <si>
    <t>NumberofSales</t>
  </si>
  <si>
    <t>ManualCredits</t>
  </si>
  <si>
    <t>Commissions</t>
  </si>
  <si>
    <t>Conversion</t>
  </si>
  <si>
    <t>EPC</t>
  </si>
  <si>
    <t>AverageOrder</t>
  </si>
  <si>
    <t>AffiliateID</t>
  </si>
  <si>
    <t>Organization</t>
  </si>
  <si>
    <t>Website</t>
  </si>
  <si>
    <t>NumbSales</t>
  </si>
  <si>
    <t>NumbLeads</t>
  </si>
  <si>
    <t>NumbTwoTier</t>
  </si>
  <si>
    <t>NumbBonuses</t>
  </si>
  <si>
    <t>NumbPayPerCall</t>
  </si>
  <si>
    <t>NumbLeapFrog</t>
  </si>
  <si>
    <t>SaleCommissions</t>
  </si>
  <si>
    <t>LeadCommissions</t>
  </si>
  <si>
    <t>TwoTierCommissions</t>
  </si>
  <si>
    <t>BonusCommissions</t>
  </si>
  <si>
    <t>PayPerCallCommissions</t>
  </si>
  <si>
    <t>LeapFrogCommissions</t>
  </si>
  <si>
    <t>TransactionFees</t>
  </si>
  <si>
    <t>314743-Skimbit Ltd-skimlinks.com</t>
  </si>
  <si>
    <t>Skimbit Ltd</t>
  </si>
  <si>
    <t>skimlinks.com</t>
  </si>
  <si>
    <t>1663605-GSG North America LLC-coupons.businessinsider.com/</t>
  </si>
  <si>
    <t>GSG North America LLC</t>
  </si>
  <si>
    <t>coupons.businessinsider.com/</t>
  </si>
  <si>
    <t>2284878-Tuck.com LLC-www.sleepfoundation.org/</t>
  </si>
  <si>
    <t>Tuck.com, LLC</t>
  </si>
  <si>
    <t>www.sleepfoundation.org/</t>
  </si>
  <si>
    <t>201285-12 Interactive LLC-www.perkspot.com</t>
  </si>
  <si>
    <t>12 Interactive LLC</t>
  </si>
  <si>
    <t>www.perkspot.com</t>
  </si>
  <si>
    <t>1088116-Business Insider Inc.-www.businessinsider.com</t>
  </si>
  <si>
    <t>Business Insider, Inc.</t>
  </si>
  <si>
    <t>www.businessinsider.com</t>
  </si>
  <si>
    <t>389818-VigLink Inc.-www.viglink.com</t>
  </si>
  <si>
    <t>VigLink, Inc.</t>
  </si>
  <si>
    <t>www.viglink.com</t>
  </si>
  <si>
    <t>445875-Demand.io-knoji.com</t>
  </si>
  <si>
    <t>Demand.io</t>
  </si>
  <si>
    <t>knoji.com</t>
  </si>
  <si>
    <t>725033-ID.me Inc.-shop.id.me</t>
  </si>
  <si>
    <t>ID.me, Inc.</t>
  </si>
  <si>
    <t>shop.id.me</t>
  </si>
  <si>
    <t>1584217-Trends Green-topnaturalmattresses.com</t>
  </si>
  <si>
    <t>Trends Green</t>
  </si>
  <si>
    <t>topnaturalmattresses.com</t>
  </si>
  <si>
    <t>1773960-Tuck.com LLC-tuck.com</t>
  </si>
  <si>
    <t>tuck.com</t>
  </si>
  <si>
    <t>2053730-WW Affiliate-www.yourbestmattress247.com</t>
  </si>
  <si>
    <t>WW Affiliate</t>
  </si>
  <si>
    <t>www.yourbestmattress247.com</t>
  </si>
  <si>
    <t>748814-Reviewed.com-www.reviewed.com</t>
  </si>
  <si>
    <t>Reviewed.com</t>
  </si>
  <si>
    <t>www.reviewed.com</t>
  </si>
  <si>
    <t>140995-Savings.com Inc-www.savings.com</t>
  </si>
  <si>
    <t>Savings.com Inc</t>
  </si>
  <si>
    <t>www.savings.com</t>
  </si>
  <si>
    <t>1413766-LinkGains (HK) Limited-www.hotdeals.com</t>
  </si>
  <si>
    <t>LinkGains (HK) Limited</t>
  </si>
  <si>
    <t>www.hotdeals.com</t>
  </si>
  <si>
    <t>1772040-Meredith Corporation-www.realsimple.com/</t>
  </si>
  <si>
    <t>Meredith Corporation</t>
  </si>
  <si>
    <t>www.realsimple.com/</t>
  </si>
  <si>
    <t>514792-CBS Interactive Inc.-www.cnet.com</t>
  </si>
  <si>
    <t>CBS Interactive Inc.</t>
  </si>
  <si>
    <t>www.cnet.com</t>
  </si>
  <si>
    <t>745788-digidip GmbH-digidip.net</t>
  </si>
  <si>
    <t>digidip GmbH</t>
  </si>
  <si>
    <t>digidip.net</t>
  </si>
  <si>
    <t>1014069-Mutzel Nutrition LLC-highintensityhealth.com/</t>
  </si>
  <si>
    <t>Mutzel Nutrition LLC</t>
  </si>
  <si>
    <t>highintensityhealth.com/</t>
  </si>
  <si>
    <t>1225169-Vox Media LLC-www.voxmedia.com/a/vm</t>
  </si>
  <si>
    <t>Vox Media, LLC</t>
  </si>
  <si>
    <t>www.voxmedia.com/a/vm</t>
  </si>
  <si>
    <t>1242889-RIZKNOWS LLC-www.rizknows.com</t>
  </si>
  <si>
    <t>RIZKNOWS LLC</t>
  </si>
  <si>
    <t>www.rizknows.com</t>
  </si>
  <si>
    <t>1519404-Mariano Cordoba-marianocordoba.me</t>
  </si>
  <si>
    <t>Mariano Cordoba</t>
  </si>
  <si>
    <t>marianocordoba.me</t>
  </si>
  <si>
    <t>136482-Vertive LLC (Offers.com LLC.)-offers.com</t>
  </si>
  <si>
    <t>Vertive, LLC (Offers.com, LLC.)</t>
  </si>
  <si>
    <t>offers.com</t>
  </si>
  <si>
    <t>1238556-YIELDKIT GmbH-yieldkit.com</t>
  </si>
  <si>
    <t>YIELDKIT GmbH</t>
  </si>
  <si>
    <t>yieldkit.com</t>
  </si>
  <si>
    <t>1372745-SavvyShop-savvyshopworld.com</t>
  </si>
  <si>
    <t>SavvyShop</t>
  </si>
  <si>
    <t>savvyshopworld.com</t>
  </si>
  <si>
    <t>193744-shareasaleaffnl@rmn.com-www.retailmenot.com</t>
  </si>
  <si>
    <t>shareasaleaffnl@rmn.com</t>
  </si>
  <si>
    <t>www.retailmenot.com</t>
  </si>
  <si>
    <t>742098-adgoal GmbH-www.adgoal.net</t>
  </si>
  <si>
    <t>adgoal GmbH</t>
  </si>
  <si>
    <t>www.adgoal.net</t>
  </si>
  <si>
    <t>930703-Antifragile Fit-antifragile.fit</t>
  </si>
  <si>
    <t>Antifragile Fit</t>
  </si>
  <si>
    <t>antifragile.fit</t>
  </si>
  <si>
    <t>1273061-BRAND REWARD (HONG KONG) LIMITED-www.brandreward.com/</t>
  </si>
  <si>
    <t>BRAND REWARD (HONG KONG) LIMITED</t>
  </si>
  <si>
    <t>www.brandreward.com/</t>
  </si>
  <si>
    <t>1649859-Mattress Advisor-www.mattressadvisor.com/</t>
  </si>
  <si>
    <t>Mattress Advisor</t>
  </si>
  <si>
    <t>www.mattressadvisor.com/</t>
  </si>
  <si>
    <t>2059568-Dang Cong Hoang-couponupto.com/</t>
  </si>
  <si>
    <t>Dang Cong Hoang</t>
  </si>
  <si>
    <t>couponupto.com/</t>
  </si>
  <si>
    <t>2316883-HigherDOSE LLC-higherdose.com/</t>
  </si>
  <si>
    <t>HigherDOSE LLC</t>
  </si>
  <si>
    <t>higherdose.com/</t>
  </si>
  <si>
    <t>154911-CouponCabin LLC-www.couponcabin.com</t>
  </si>
  <si>
    <t>CouponCabin, LLC</t>
  </si>
  <si>
    <t>www.couponcabin.com</t>
  </si>
  <si>
    <t>213636-SurfMyAds.com-www.promocodes.com</t>
  </si>
  <si>
    <t>SurfMyAds.com</t>
  </si>
  <si>
    <t>www.promocodes.com</t>
  </si>
  <si>
    <t>318676-Capital Intellect Inc.-www.befrugal.com</t>
  </si>
  <si>
    <t>Capital Intellect, Inc.</t>
  </si>
  <si>
    <t>www.befrugal.com</t>
  </si>
  <si>
    <t>1140999-Chichihaha Limited-www.couponbirds.com</t>
  </si>
  <si>
    <t>Chichihaha Limited</t>
  </si>
  <si>
    <t>www.couponbirds.com</t>
  </si>
  <si>
    <t>1375544-REE SOLUTIONS INC-www.reecoupons.com</t>
  </si>
  <si>
    <t>REE SOLUTIONS INC</t>
  </si>
  <si>
    <t>www.reecoupons.com</t>
  </si>
  <si>
    <t>1538097-Wildfire Systems Inc.-wildfire-corp.com</t>
  </si>
  <si>
    <t>Wildfire Systems, Inc.</t>
  </si>
  <si>
    <t>wildfire-corp.com</t>
  </si>
  <si>
    <t>1578665-Mattress Advisor LLC-sleepopolis.com</t>
  </si>
  <si>
    <t>Mattress Advisor LLC</t>
  </si>
  <si>
    <t>sleepopolis.com</t>
  </si>
  <si>
    <t>1873005-Kate Zach-www.verifiedpromocode.com</t>
  </si>
  <si>
    <t>Kate Zach</t>
  </si>
  <si>
    <t>www.verifiedpromocode.com</t>
  </si>
  <si>
    <t>2015681-Fresh Healthy Media LLC-vegnews.com/</t>
  </si>
  <si>
    <t>Fresh Healthy Media, LLC</t>
  </si>
  <si>
    <t>vegnews.com/</t>
  </si>
  <si>
    <t>2075116-Arif Bilal-www.fivestarcoupon.com/</t>
  </si>
  <si>
    <t>Arif Bilal</t>
  </si>
  <si>
    <t>www.fivestarcoupon.com/</t>
  </si>
  <si>
    <t>2096628-yiwei zhang-www.besthomesdecor.com/</t>
  </si>
  <si>
    <t>yiwei zhang</t>
  </si>
  <si>
    <t>www.besthomesdecor.com/</t>
  </si>
  <si>
    <t>2371233-william greiner-id-mag.com</t>
  </si>
  <si>
    <t>william greiner</t>
  </si>
  <si>
    <t>id-mag.com</t>
  </si>
  <si>
    <t>1738672-Bin Yin-www.couponpa.com</t>
  </si>
  <si>
    <t>Bin Yin</t>
  </si>
  <si>
    <t>www.couponpa.com</t>
  </si>
  <si>
    <t>2029250-CNN Interactive Group-www.cnn.com/cnn-underscored/</t>
  </si>
  <si>
    <t>CNN Interactive Group</t>
  </si>
  <si>
    <t>www.cnn.com/cnn-underscored/</t>
  </si>
  <si>
    <t>708786-ANDHI ERMAWAN-couponseeker.com salehunter.com</t>
  </si>
  <si>
    <t>ANDHI ERMAWAN</t>
  </si>
  <si>
    <t>couponseeker.com, salehunter.com</t>
  </si>
  <si>
    <t>1007528-Buy Like Me Inc-www.sleepdelivered.com</t>
  </si>
  <si>
    <t>Buy Like Me Inc</t>
  </si>
  <si>
    <t>www.sleepdelivered.com</t>
  </si>
  <si>
    <t>1564860-Jonathan Chee Loong Chow-thanhloccuocsong.com</t>
  </si>
  <si>
    <t>Jonathan Chee Loong Chow</t>
  </si>
  <si>
    <t>thanhloccuocsong.com</t>
  </si>
  <si>
    <t>1606247-Shasta Tisdale-www.facebook.com/Saleaholiccoupons/</t>
  </si>
  <si>
    <t>Shasta Tisdale</t>
  </si>
  <si>
    <t>www.facebook.com/Saleaholiccoupons/</t>
  </si>
  <si>
    <t>1778626-Syed Hammad Hussain-www.couponsvolcano.com</t>
  </si>
  <si>
    <t>Syed Hammad Hussain</t>
  </si>
  <si>
    <t>www.couponsvolcano.com</t>
  </si>
  <si>
    <t>1869309-Mattress Media LLC.-mattressnerd.com</t>
  </si>
  <si>
    <t>Mattress Media, LLC.</t>
  </si>
  <si>
    <t>mattressnerd.com</t>
  </si>
  <si>
    <t>2364026-OutWork24-fallingasleep.net</t>
  </si>
  <si>
    <t>OutWork24</t>
  </si>
  <si>
    <t>fallingasleep.net</t>
  </si>
  <si>
    <t>1250612-Refermate LLC-www.refermate.com</t>
  </si>
  <si>
    <t>Refermate, LLC</t>
  </si>
  <si>
    <t>www.refermate.com</t>
  </si>
  <si>
    <t>1851859-TRAN ANH THAI-bestmaxcoupons.com/</t>
  </si>
  <si>
    <t>TRAN ANH THAI</t>
  </si>
  <si>
    <t>bestmaxcoupons.com/</t>
  </si>
  <si>
    <t>1307407-VerticalScope Inc.-thesleepjudge.com</t>
  </si>
  <si>
    <t>VerticalScope Inc.</t>
  </si>
  <si>
    <t>thesleepjudge.com</t>
  </si>
  <si>
    <t>1693896-Karen Shopoff Rooff-www.wellbalancedwomen.com</t>
  </si>
  <si>
    <t>Karen Shopoff Rooff</t>
  </si>
  <si>
    <t>www.wellbalancedwomen.com</t>
  </si>
  <si>
    <t>2182271-Promo Codes Guide LLC-www.promocodes.guide</t>
  </si>
  <si>
    <t xml:space="preserve">Promo Codes Guide LLC </t>
  </si>
  <si>
    <t>www.promocodes.guide</t>
  </si>
  <si>
    <t>2292146-Olymp Technologies Inc-honestbrandreviews.com</t>
  </si>
  <si>
    <t>Olymp Technologies Inc</t>
  </si>
  <si>
    <t>honestbrandreviews.com</t>
  </si>
  <si>
    <t>2334633-Jo Seney-www.facebook.com/Jabars310SalesPage/</t>
  </si>
  <si>
    <t>Jo Seney</t>
  </si>
  <si>
    <t>www.facebook.com/Jabars310SalesPage/</t>
  </si>
  <si>
    <t>1868351-Liberty Labs Ltd-www.libertyvaults.com</t>
  </si>
  <si>
    <t>Liberty Labs Ltd</t>
  </si>
  <si>
    <t>www.libertyvaults.com</t>
  </si>
  <si>
    <t>2122913-James Morse-www.facebook.com/JamesScottMorse</t>
  </si>
  <si>
    <t>James Morse</t>
  </si>
  <si>
    <t>www.facebook.com/JamesScottMorse</t>
  </si>
  <si>
    <t>721112-For Me To Coupon-www.fmtc.co</t>
  </si>
  <si>
    <t>For Me To Coupon</t>
  </si>
  <si>
    <t>www.fmtc.co</t>
  </si>
  <si>
    <t>1418817-MK INFOTECH LIMITED-www.anycodes.com</t>
  </si>
  <si>
    <t>MK INFOTECH LIMITED</t>
  </si>
  <si>
    <t>www.anycodes.com</t>
  </si>
  <si>
    <t>64460-eDealinfo USA Inc.-www.edealinfo.com</t>
  </si>
  <si>
    <t>eDealinfo USA Inc.</t>
  </si>
  <si>
    <t>www.edealinfo.com</t>
  </si>
  <si>
    <t>346980-Evreward LLC-evreward.com</t>
  </si>
  <si>
    <t>Evreward LLC</t>
  </si>
  <si>
    <t>evreward.com</t>
  </si>
  <si>
    <t>824466-Mazitsol-wativ.com</t>
  </si>
  <si>
    <t>Mazitsol</t>
  </si>
  <si>
    <t>wativ.com</t>
  </si>
  <si>
    <t>1393373-CPAR Media Corp-www.coupongrind.com</t>
  </si>
  <si>
    <t>CPAR Media Corp</t>
  </si>
  <si>
    <t>www.coupongrind.com</t>
  </si>
  <si>
    <t>1597262-Tabita Simrin-www.pennysaviour.com/</t>
  </si>
  <si>
    <t>Tabita Simrin</t>
  </si>
  <si>
    <t>www.pennysaviour.com/</t>
  </si>
  <si>
    <t>2058900-Kimberly Kornfeld-medium.com/@kim.straus</t>
  </si>
  <si>
    <t>Kimberly Kornfeld</t>
  </si>
  <si>
    <t>medium.com/@kim.straus</t>
  </si>
  <si>
    <t>2243506-Pannon Digital Ltd-www.weightedblanketguides.com/</t>
  </si>
  <si>
    <t>Pannon Digital Ltd</t>
  </si>
  <si>
    <t>www.weightedblanketguides.com/</t>
  </si>
  <si>
    <t>2118399-Smarty LLC-www.joinsmarty.com</t>
  </si>
  <si>
    <t>Smarty LLC</t>
  </si>
  <si>
    <t>www.joinsmarty.com</t>
  </si>
  <si>
    <t>160437-My Registry LLC-myregistry.com</t>
  </si>
  <si>
    <t>My Registry LLC</t>
  </si>
  <si>
    <t>myregistry.com</t>
  </si>
  <si>
    <t>1665845-T susi ram dev-www.wannacoupons.com</t>
  </si>
  <si>
    <t>T susi ram dev</t>
  </si>
  <si>
    <t>www.wannacoupons.com</t>
  </si>
  <si>
    <t>1938661-Maqsooda Begum-couponschic.com</t>
  </si>
  <si>
    <t>Maqsooda Begum</t>
  </si>
  <si>
    <t>couponschic.com</t>
  </si>
  <si>
    <t>2159987-HiSensitives-hisensitives.com</t>
  </si>
  <si>
    <t>HiSensitives</t>
  </si>
  <si>
    <t>hisensitives.com</t>
  </si>
  <si>
    <t>534553-Tong Shu Keung-www.getcouponcodes.com</t>
  </si>
  <si>
    <t>Tong Shu Keung</t>
  </si>
  <si>
    <t>www.getcouponcodes.com</t>
  </si>
  <si>
    <t>992267-Ariel Dahan-story-click.com</t>
  </si>
  <si>
    <t>Ariel Dahan</t>
  </si>
  <si>
    <t>story-click.com</t>
  </si>
  <si>
    <t>2017970-No Plans Inc.-girlsnightinclub.com</t>
  </si>
  <si>
    <t>No Plans Inc.</t>
  </si>
  <si>
    <t>girlsnightinclub.com</t>
  </si>
  <si>
    <t>1752450-Julien CRESTOU-couponscity.net</t>
  </si>
  <si>
    <t>Julien CRESTOU</t>
  </si>
  <si>
    <t>couponscity.net</t>
  </si>
  <si>
    <t>1562307-Reviews International-us-reviews.com</t>
  </si>
  <si>
    <t>Reviews International</t>
  </si>
  <si>
    <t>us-reviews.com</t>
  </si>
  <si>
    <t>1657151-Weng-Kian D Oh-discountsgoblin.com</t>
  </si>
  <si>
    <t>Weng-Kian D Oh</t>
  </si>
  <si>
    <t>discountsgoblin.com</t>
  </si>
  <si>
    <t>1023348-Influenced Media LLC-momprepares.com</t>
  </si>
  <si>
    <t>Influenced Media, LLC</t>
  </si>
  <si>
    <t>momprepares.com</t>
  </si>
  <si>
    <t>473774-Miki Pavlov-couponsolver.com</t>
  </si>
  <si>
    <t>Miki Pavlov</t>
  </si>
  <si>
    <t>couponsolver.com</t>
  </si>
  <si>
    <t>1936146-J &amp;amp; J Reviews LLC-aslreviews.com</t>
  </si>
  <si>
    <t>J &amp;amp; J Reviews LLC</t>
  </si>
  <si>
    <t>aslreviews.com</t>
  </si>
  <si>
    <t>2007343-hadia mehmood-www.commonpointreview.com</t>
  </si>
  <si>
    <t>hadia mehmood</t>
  </si>
  <si>
    <t>www.commonpointreview.com</t>
  </si>
  <si>
    <t>2134380-naeem mohammad-www.simplecodez.com/</t>
  </si>
  <si>
    <t>naeem mohammad</t>
  </si>
  <si>
    <t>www.simplecodez.com/</t>
  </si>
  <si>
    <t>Row Labels</t>
  </si>
  <si>
    <t>(blank)</t>
  </si>
  <si>
    <t>Grand Total</t>
  </si>
  <si>
    <t>Sum of NetSales</t>
  </si>
  <si>
    <t>Sum of Commissions</t>
  </si>
  <si>
    <t>Sum of Clicks</t>
  </si>
  <si>
    <t>Partner</t>
  </si>
  <si>
    <t>Previous</t>
  </si>
  <si>
    <t xml:space="preserve">Current </t>
  </si>
  <si>
    <t>Total Sale</t>
  </si>
  <si>
    <t>Traffic</t>
  </si>
  <si>
    <t>Commision Paid</t>
  </si>
  <si>
    <t>CPA</t>
  </si>
  <si>
    <t>% Difference</t>
  </si>
  <si>
    <t xml:space="preserve"> </t>
  </si>
  <si>
    <t>Sum of NumberofSales</t>
  </si>
  <si>
    <t>Current Week</t>
  </si>
  <si>
    <t>Previous Week</t>
  </si>
  <si>
    <t>Start</t>
  </si>
  <si>
    <t>End</t>
  </si>
  <si>
    <t>% Change</t>
  </si>
  <si>
    <t>Overall Affiliate Business (WTD)</t>
  </si>
  <si>
    <t>Sales</t>
  </si>
  <si>
    <t>Transactions</t>
  </si>
  <si>
    <t>Average Sales per Day</t>
  </si>
  <si>
    <t>% Share of Overall Business</t>
  </si>
  <si>
    <t>Transactions (#Sales)</t>
  </si>
  <si>
    <t>start_date</t>
  </si>
  <si>
    <t>end_date</t>
  </si>
  <si>
    <t>ga_revenue</t>
  </si>
  <si>
    <t>Performance of top ten partners based on no of sales are given on sheet "Overall_Perf". There is an increase in 6% sales from previous week despite total sales volume remain the same.</t>
  </si>
  <si>
    <t>CPA has increased by 18% and also average sales/day is increased by 18%.</t>
  </si>
  <si>
    <t>Overall business has improved in current week as compared to previous week.</t>
  </si>
  <si>
    <t>As shown in the charts , skimbit has the highest sales for the current week, SurfmyAid has shown the max increase in sales($) ,286%, where as slaes has fallen down by 67% for Id.Me,Inc which is the the worst among top ten partners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</si>
</sst>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quot;$&quot;#,##0.00"/>
    <numFmt numFmtId="166" formatCode="&quot;£&quot;#,##0.00"/>
    <numFmt numFmtId="167" formatCode="&quot;£&quot;#,##0.0000"/>
    <numFmt numFmtId="168" formatCode="&quot;£&quot;#,##0.000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rgb="FF0A0101"/>
      <name val="Arial"/>
      <family val="2"/>
    </font>
    <font>
      <sz val="11"/>
      <color theme="1"/>
      <name val="Calibri"/>
      <family val="2"/>
    </font>
    <font>
      <b/>
      <sz val="11"/>
      <color rgb="FFFFFFFF"/>
      <name val="Calibri"/>
      <family val="2"/>
    </font>
    <font>
      <sz val="8"/>
      <color theme="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4" tint="0.59999389629810485"/>
        <bgColor indexed="64"/>
      </patternFill>
    </fill>
    <fill>
      <patternFill patternType="solid">
        <fgColor rgb="FFFFFF00"/>
        <bgColor indexed="64"/>
      </patternFill>
    </fill>
    <fill>
      <patternFill patternType="solid">
        <fgColor rgb="FFFFFF00"/>
        <bgColor rgb="FF000000"/>
      </patternFill>
    </fill>
    <fill>
      <patternFill patternType="solid">
        <fgColor rgb="FF4472C4"/>
        <bgColor rgb="FF000000"/>
      </patternFill>
    </fill>
    <fill>
      <patternFill patternType="solid">
        <fgColor rgb="FFD9E1F2"/>
        <bgColor rgb="FF000000"/>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46">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164" fontId="0" fillId="0" borderId="10" xfId="0" applyNumberFormat="1" applyBorder="1"/>
    <xf numFmtId="164" fontId="0" fillId="0" borderId="11" xfId="0" applyNumberFormat="1" applyBorder="1"/>
    <xf numFmtId="164" fontId="0" fillId="0" borderId="12" xfId="0" applyNumberFormat="1" applyBorder="1"/>
    <xf numFmtId="164" fontId="0" fillId="0" borderId="13" xfId="0" applyNumberFormat="1" applyBorder="1"/>
    <xf numFmtId="164" fontId="0" fillId="0" borderId="14" xfId="0" applyNumberFormat="1" applyBorder="1"/>
    <xf numFmtId="164" fontId="0" fillId="0" borderId="15" xfId="0" applyNumberFormat="1" applyBorder="1"/>
    <xf numFmtId="0" fontId="0" fillId="34" borderId="16" xfId="0" applyFill="1" applyBorder="1"/>
    <xf numFmtId="0" fontId="0" fillId="0" borderId="17" xfId="0" applyBorder="1" applyAlignment="1">
      <alignment horizontal="left"/>
    </xf>
    <xf numFmtId="0" fontId="0" fillId="0" borderId="18" xfId="0" applyBorder="1" applyAlignment="1">
      <alignment horizontal="left"/>
    </xf>
    <xf numFmtId="14" fontId="0" fillId="0" borderId="0" xfId="0" applyNumberFormat="1" applyAlignment="1">
      <alignment horizontal="left"/>
    </xf>
    <xf numFmtId="0" fontId="0" fillId="0" borderId="10" xfId="0" applyBorder="1"/>
    <xf numFmtId="14" fontId="0" fillId="0" borderId="0" xfId="0" pivotButton="1" applyNumberFormat="1"/>
    <xf numFmtId="14" fontId="0" fillId="0" borderId="10" xfId="0" applyNumberFormat="1" applyBorder="1"/>
    <xf numFmtId="14" fontId="0" fillId="35" borderId="10" xfId="0" applyNumberFormat="1" applyFill="1" applyBorder="1"/>
    <xf numFmtId="0" fontId="18" fillId="0" borderId="0" xfId="0" applyFont="1"/>
    <xf numFmtId="0" fontId="0" fillId="34" borderId="22" xfId="0" applyFill="1" applyBorder="1"/>
    <xf numFmtId="0" fontId="0" fillId="34" borderId="23" xfId="0" applyFill="1" applyBorder="1"/>
    <xf numFmtId="0" fontId="0" fillId="34" borderId="24" xfId="0" applyFill="1" applyBorder="1"/>
    <xf numFmtId="0" fontId="19" fillId="0" borderId="0" xfId="0" applyFont="1"/>
    <xf numFmtId="0" fontId="19" fillId="0" borderId="10" xfId="0" applyFont="1" applyBorder="1"/>
    <xf numFmtId="14" fontId="19" fillId="0" borderId="10" xfId="0" applyNumberFormat="1" applyFont="1" applyBorder="1"/>
    <xf numFmtId="14" fontId="19" fillId="36" borderId="10" xfId="0" applyNumberFormat="1" applyFont="1" applyFill="1" applyBorder="1"/>
    <xf numFmtId="0" fontId="20" fillId="37" borderId="25" xfId="0" applyFont="1" applyFill="1" applyBorder="1" applyAlignment="1">
      <alignment horizontal="centerContinuous" vertical="center"/>
    </xf>
    <xf numFmtId="0" fontId="20" fillId="37" borderId="26" xfId="0" applyFont="1" applyFill="1" applyBorder="1" applyAlignment="1">
      <alignment horizontal="centerContinuous" vertical="center"/>
    </xf>
    <xf numFmtId="0" fontId="20" fillId="37" borderId="10" xfId="0" applyFont="1" applyFill="1" applyBorder="1" applyAlignment="1">
      <alignment horizontal="center" vertical="center"/>
    </xf>
    <xf numFmtId="9" fontId="19" fillId="0" borderId="10" xfId="42" applyFont="1" applyFill="1" applyBorder="1"/>
    <xf numFmtId="9" fontId="19" fillId="0" borderId="0" xfId="42" applyFont="1" applyFill="1" applyBorder="1"/>
    <xf numFmtId="0" fontId="19" fillId="38" borderId="10" xfId="0" applyFont="1" applyFill="1" applyBorder="1"/>
    <xf numFmtId="165" fontId="19" fillId="0" borderId="10" xfId="0" applyNumberFormat="1" applyFont="1" applyBorder="1"/>
    <xf numFmtId="9" fontId="19" fillId="0" borderId="10" xfId="0" applyNumberFormat="1" applyFont="1" applyBorder="1"/>
    <xf numFmtId="0" fontId="21" fillId="0" borderId="0" xfId="0" applyFont="1"/>
    <xf numFmtId="14" fontId="21" fillId="0" borderId="0" xfId="0" applyNumberFormat="1" applyFont="1"/>
    <xf numFmtId="4" fontId="21" fillId="0" borderId="0" xfId="0" applyNumberFormat="1" applyFont="1"/>
    <xf numFmtId="0" fontId="19" fillId="0" borderId="10" xfId="0" applyNumberFormat="1" applyFont="1" applyBorder="1"/>
    <xf numFmtId="166" fontId="0" fillId="0" borderId="0" xfId="0" applyNumberFormat="1"/>
    <xf numFmtId="167" fontId="0" fillId="0" borderId="0" xfId="0" applyNumberFormat="1"/>
    <xf numFmtId="168" fontId="0" fillId="0" borderId="0" xfId="0" applyNumberFormat="1"/>
    <xf numFmtId="2" fontId="19" fillId="0" borderId="10" xfId="0" applyNumberFormat="1" applyFont="1" applyBorder="1"/>
    <xf numFmtId="0" fontId="17" fillId="33" borderId="19" xfId="0" applyFont="1" applyFill="1" applyBorder="1" applyAlignment="1">
      <alignment horizontal="center"/>
    </xf>
    <xf numFmtId="0" fontId="17" fillId="33" borderId="20" xfId="0" applyFont="1" applyFill="1" applyBorder="1" applyAlignment="1">
      <alignment horizontal="center"/>
    </xf>
    <xf numFmtId="0" fontId="17" fillId="33" borderId="21" xfId="0" applyFont="1" applyFill="1" applyBorder="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2">
    <dxf>
      <font>
        <b val="0"/>
        <i val="0"/>
        <strike val="0"/>
        <condense val="0"/>
        <extend val="0"/>
        <outline val="0"/>
        <shadow val="0"/>
        <u val="none"/>
        <vertAlign val="baseline"/>
        <sz val="8"/>
        <color theme="1"/>
        <name val="Calibri"/>
        <scheme val="minor"/>
      </font>
      <numFmt numFmtId="4" formatCode="#,##0.00"/>
    </dxf>
    <dxf>
      <font>
        <b val="0"/>
        <i val="0"/>
        <strike val="0"/>
        <condense val="0"/>
        <extend val="0"/>
        <outline val="0"/>
        <shadow val="0"/>
        <u val="none"/>
        <vertAlign val="baseline"/>
        <sz val="8"/>
        <color theme="1"/>
        <name val="Calibri"/>
        <scheme val="minor"/>
      </font>
      <numFmt numFmtId="169" formatCode="m/d/yy"/>
    </dxf>
    <dxf>
      <font>
        <b val="0"/>
        <i val="0"/>
        <strike val="0"/>
        <condense val="0"/>
        <extend val="0"/>
        <outline val="0"/>
        <shadow val="0"/>
        <u val="none"/>
        <vertAlign val="baseline"/>
        <sz val="8"/>
        <color theme="1"/>
        <name val="Calibri"/>
        <scheme val="minor"/>
      </font>
      <numFmt numFmtId="169" formatCode="m/d/yy"/>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numFmt numFmtId="0" formatCode="General"/>
    </dxf>
    <dxf>
      <numFmt numFmtId="19" formatCode="dd/mm/yyyy"/>
    </dxf>
    <dxf>
      <numFmt numFmtId="19" formatCode="dd/mm/yyyy"/>
    </dxf>
    <dxf>
      <numFmt numFmtId="19" formatCode="dd/mm/yyyy"/>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a:t>
            </a:r>
            <a:r>
              <a:rPr lang="en-GB" baseline="0"/>
              <a:t> Sales - Top 10 Partners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978937007874015"/>
          <c:y val="0.14798665791776028"/>
          <c:w val="0.79965507436570427"/>
          <c:h val="0.41324438611840186"/>
        </c:manualLayout>
      </c:layout>
      <c:barChart>
        <c:barDir val="col"/>
        <c:grouping val="clustered"/>
        <c:varyColors val="0"/>
        <c:ser>
          <c:idx val="0"/>
          <c:order val="0"/>
          <c:tx>
            <c:strRef>
              <c:f>Table!$C$6</c:f>
              <c:strCache>
                <c:ptCount val="1"/>
                <c:pt idx="0">
                  <c:v>Previous</c:v>
                </c:pt>
              </c:strCache>
            </c:strRef>
          </c:tx>
          <c:spPr>
            <a:solidFill>
              <a:schemeClr val="accent1"/>
            </a:solidFill>
            <a:ln>
              <a:noFill/>
            </a:ln>
            <a:effectLst/>
          </c:spPr>
          <c:invertIfNegative val="0"/>
          <c:cat>
            <c:strRef>
              <c:f>Table!$B$7:$B$16</c:f>
              <c:strCache>
                <c:ptCount val="10"/>
                <c:pt idx="0">
                  <c:v>Demand.io</c:v>
                </c:pt>
                <c:pt idx="1">
                  <c:v>Skimbit Ltd</c:v>
                </c:pt>
                <c:pt idx="2">
                  <c:v>Business Insider, Inc.</c:v>
                </c:pt>
                <c:pt idx="3">
                  <c:v>12 Interactive LLC</c:v>
                </c:pt>
                <c:pt idx="4">
                  <c:v>SurfMyAds.com</c:v>
                </c:pt>
                <c:pt idx="5">
                  <c:v>ID.me, Inc.</c:v>
                </c:pt>
                <c:pt idx="6">
                  <c:v>VigLink, Inc.</c:v>
                </c:pt>
                <c:pt idx="7">
                  <c:v>Vertive, LLC (Offers.com, LLC.)</c:v>
                </c:pt>
                <c:pt idx="8">
                  <c:v>GSG North America LLC</c:v>
                </c:pt>
                <c:pt idx="9">
                  <c:v>HigherDOSE LLC</c:v>
                </c:pt>
              </c:strCache>
            </c:strRef>
          </c:cat>
          <c:val>
            <c:numRef>
              <c:f>Table!$C$7:$C$16</c:f>
              <c:numCache>
                <c:formatCode>0.0</c:formatCode>
                <c:ptCount val="10"/>
                <c:pt idx="0">
                  <c:v>824.22</c:v>
                </c:pt>
                <c:pt idx="1">
                  <c:v>1967.8</c:v>
                </c:pt>
                <c:pt idx="2">
                  <c:v>328.3</c:v>
                </c:pt>
                <c:pt idx="3">
                  <c:v>520.72</c:v>
                </c:pt>
                <c:pt idx="4">
                  <c:v>199.2</c:v>
                </c:pt>
                <c:pt idx="5">
                  <c:v>1391.1200000000001</c:v>
                </c:pt>
                <c:pt idx="6">
                  <c:v>329.45</c:v>
                </c:pt>
                <c:pt idx="7">
                  <c:v>1051.7</c:v>
                </c:pt>
                <c:pt idx="8">
                  <c:v>0</c:v>
                </c:pt>
                <c:pt idx="9">
                  <c:v>0</c:v>
                </c:pt>
              </c:numCache>
            </c:numRef>
          </c:val>
          <c:extLst>
            <c:ext xmlns:c16="http://schemas.microsoft.com/office/drawing/2014/chart" uri="{C3380CC4-5D6E-409C-BE32-E72D297353CC}">
              <c16:uniqueId val="{00000000-E2D6-46F9-90A8-3DF18C41A1A8}"/>
            </c:ext>
          </c:extLst>
        </c:ser>
        <c:ser>
          <c:idx val="1"/>
          <c:order val="1"/>
          <c:tx>
            <c:strRef>
              <c:f>Table!$D$6</c:f>
              <c:strCache>
                <c:ptCount val="1"/>
                <c:pt idx="0">
                  <c:v>Current </c:v>
                </c:pt>
              </c:strCache>
            </c:strRef>
          </c:tx>
          <c:spPr>
            <a:solidFill>
              <a:schemeClr val="accent2"/>
            </a:solidFill>
            <a:ln>
              <a:noFill/>
            </a:ln>
            <a:effectLst/>
          </c:spPr>
          <c:invertIfNegative val="0"/>
          <c:cat>
            <c:strRef>
              <c:f>Table!$B$7:$B$16</c:f>
              <c:strCache>
                <c:ptCount val="10"/>
                <c:pt idx="0">
                  <c:v>Demand.io</c:v>
                </c:pt>
                <c:pt idx="1">
                  <c:v>Skimbit Ltd</c:v>
                </c:pt>
                <c:pt idx="2">
                  <c:v>Business Insider, Inc.</c:v>
                </c:pt>
                <c:pt idx="3">
                  <c:v>12 Interactive LLC</c:v>
                </c:pt>
                <c:pt idx="4">
                  <c:v>SurfMyAds.com</c:v>
                </c:pt>
                <c:pt idx="5">
                  <c:v>ID.me, Inc.</c:v>
                </c:pt>
                <c:pt idx="6">
                  <c:v>VigLink, Inc.</c:v>
                </c:pt>
                <c:pt idx="7">
                  <c:v>Vertive, LLC (Offers.com, LLC.)</c:v>
                </c:pt>
                <c:pt idx="8">
                  <c:v>GSG North America LLC</c:v>
                </c:pt>
                <c:pt idx="9">
                  <c:v>HigherDOSE LLC</c:v>
                </c:pt>
              </c:strCache>
            </c:strRef>
          </c:cat>
          <c:val>
            <c:numRef>
              <c:f>Table!$D$7:$D$16</c:f>
              <c:numCache>
                <c:formatCode>0.0</c:formatCode>
                <c:ptCount val="10"/>
                <c:pt idx="0">
                  <c:v>1791.2399999999998</c:v>
                </c:pt>
                <c:pt idx="1">
                  <c:v>1880.57</c:v>
                </c:pt>
                <c:pt idx="2">
                  <c:v>1000.53</c:v>
                </c:pt>
                <c:pt idx="3">
                  <c:v>838.33999999999992</c:v>
                </c:pt>
                <c:pt idx="4">
                  <c:v>769.58</c:v>
                </c:pt>
                <c:pt idx="5">
                  <c:v>447.72</c:v>
                </c:pt>
                <c:pt idx="6">
                  <c:v>422.76</c:v>
                </c:pt>
                <c:pt idx="7">
                  <c:v>636.79999999999995</c:v>
                </c:pt>
                <c:pt idx="8">
                  <c:v>664.88</c:v>
                </c:pt>
                <c:pt idx="9">
                  <c:v>541.65</c:v>
                </c:pt>
              </c:numCache>
            </c:numRef>
          </c:val>
          <c:extLst>
            <c:ext xmlns:c16="http://schemas.microsoft.com/office/drawing/2014/chart" uri="{C3380CC4-5D6E-409C-BE32-E72D297353CC}">
              <c16:uniqueId val="{00000001-E2D6-46F9-90A8-3DF18C41A1A8}"/>
            </c:ext>
          </c:extLst>
        </c:ser>
        <c:dLbls>
          <c:showLegendKey val="0"/>
          <c:showVal val="0"/>
          <c:showCatName val="0"/>
          <c:showSerName val="0"/>
          <c:showPercent val="0"/>
          <c:showBubbleSize val="0"/>
        </c:dLbls>
        <c:gapWidth val="219"/>
        <c:overlap val="-27"/>
        <c:axId val="326032447"/>
        <c:axId val="326034943"/>
      </c:barChart>
      <c:catAx>
        <c:axId val="3260324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Partners</a:t>
                </a:r>
              </a:p>
            </c:rich>
          </c:tx>
          <c:layout>
            <c:manualLayout>
              <c:xMode val="edge"/>
              <c:yMode val="edge"/>
              <c:x val="0.40515157480314956"/>
              <c:y val="0.9249766695829687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034943"/>
        <c:crosses val="autoZero"/>
        <c:auto val="1"/>
        <c:lblAlgn val="ctr"/>
        <c:lblOffset val="100"/>
        <c:noMultiLvlLbl val="0"/>
      </c:catAx>
      <c:valAx>
        <c:axId val="3260349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Total Sale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032447"/>
        <c:crosses val="autoZero"/>
        <c:crossBetween val="between"/>
      </c:valAx>
      <c:spPr>
        <a:noFill/>
        <a:ln>
          <a:noFill/>
        </a:ln>
        <a:effectLst/>
      </c:spPr>
    </c:plotArea>
    <c:legend>
      <c:legendPos val="t"/>
      <c:layout>
        <c:manualLayout>
          <c:xMode val="edge"/>
          <c:yMode val="edge"/>
          <c:x val="0.68960279965004379"/>
          <c:y val="0.3198611111111111"/>
          <c:w val="0.27079418197725286"/>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Traffic</a:t>
            </a:r>
            <a:r>
              <a:rPr lang="en-GB" baseline="0"/>
              <a:t> - Top 10 Partners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978937007874015"/>
          <c:y val="0.14798665791776028"/>
          <c:w val="0.79965507436570427"/>
          <c:h val="0.41324438611840186"/>
        </c:manualLayout>
      </c:layout>
      <c:barChart>
        <c:barDir val="col"/>
        <c:grouping val="clustered"/>
        <c:varyColors val="0"/>
        <c:ser>
          <c:idx val="0"/>
          <c:order val="0"/>
          <c:tx>
            <c:strRef>
              <c:f>Table!$F$6</c:f>
              <c:strCache>
                <c:ptCount val="1"/>
                <c:pt idx="0">
                  <c:v>Previous</c:v>
                </c:pt>
              </c:strCache>
            </c:strRef>
          </c:tx>
          <c:spPr>
            <a:solidFill>
              <a:schemeClr val="accent1"/>
            </a:solidFill>
            <a:ln>
              <a:noFill/>
            </a:ln>
            <a:effectLst/>
          </c:spPr>
          <c:invertIfNegative val="0"/>
          <c:cat>
            <c:strRef>
              <c:f>Table!$B$7:$B$16</c:f>
              <c:strCache>
                <c:ptCount val="10"/>
                <c:pt idx="0">
                  <c:v>Demand.io</c:v>
                </c:pt>
                <c:pt idx="1">
                  <c:v>Skimbit Ltd</c:v>
                </c:pt>
                <c:pt idx="2">
                  <c:v>Business Insider, Inc.</c:v>
                </c:pt>
                <c:pt idx="3">
                  <c:v>12 Interactive LLC</c:v>
                </c:pt>
                <c:pt idx="4">
                  <c:v>SurfMyAds.com</c:v>
                </c:pt>
                <c:pt idx="5">
                  <c:v>ID.me, Inc.</c:v>
                </c:pt>
                <c:pt idx="6">
                  <c:v>VigLink, Inc.</c:v>
                </c:pt>
                <c:pt idx="7">
                  <c:v>Vertive, LLC (Offers.com, LLC.)</c:v>
                </c:pt>
                <c:pt idx="8">
                  <c:v>GSG North America LLC</c:v>
                </c:pt>
                <c:pt idx="9">
                  <c:v>HigherDOSE LLC</c:v>
                </c:pt>
              </c:strCache>
            </c:strRef>
          </c:cat>
          <c:val>
            <c:numRef>
              <c:f>Table!$F$7:$F$16</c:f>
              <c:numCache>
                <c:formatCode>0.0</c:formatCode>
                <c:ptCount val="10"/>
                <c:pt idx="0">
                  <c:v>78</c:v>
                </c:pt>
                <c:pt idx="1">
                  <c:v>775</c:v>
                </c:pt>
                <c:pt idx="2">
                  <c:v>363</c:v>
                </c:pt>
                <c:pt idx="3">
                  <c:v>147</c:v>
                </c:pt>
                <c:pt idx="4">
                  <c:v>13</c:v>
                </c:pt>
                <c:pt idx="5">
                  <c:v>377</c:v>
                </c:pt>
                <c:pt idx="6">
                  <c:v>151</c:v>
                </c:pt>
                <c:pt idx="7">
                  <c:v>22</c:v>
                </c:pt>
                <c:pt idx="8">
                  <c:v>8</c:v>
                </c:pt>
                <c:pt idx="9">
                  <c:v>4</c:v>
                </c:pt>
              </c:numCache>
            </c:numRef>
          </c:val>
          <c:extLst>
            <c:ext xmlns:c16="http://schemas.microsoft.com/office/drawing/2014/chart" uri="{C3380CC4-5D6E-409C-BE32-E72D297353CC}">
              <c16:uniqueId val="{00000000-5B1E-477D-8B58-3DAD073B5B9D}"/>
            </c:ext>
          </c:extLst>
        </c:ser>
        <c:ser>
          <c:idx val="1"/>
          <c:order val="1"/>
          <c:tx>
            <c:strRef>
              <c:f>Table!$G$6</c:f>
              <c:strCache>
                <c:ptCount val="1"/>
                <c:pt idx="0">
                  <c:v>Current </c:v>
                </c:pt>
              </c:strCache>
            </c:strRef>
          </c:tx>
          <c:spPr>
            <a:solidFill>
              <a:schemeClr val="accent2"/>
            </a:solidFill>
            <a:ln>
              <a:noFill/>
            </a:ln>
            <a:effectLst/>
          </c:spPr>
          <c:invertIfNegative val="0"/>
          <c:cat>
            <c:strRef>
              <c:f>Table!$B$7:$B$16</c:f>
              <c:strCache>
                <c:ptCount val="10"/>
                <c:pt idx="0">
                  <c:v>Demand.io</c:v>
                </c:pt>
                <c:pt idx="1">
                  <c:v>Skimbit Ltd</c:v>
                </c:pt>
                <c:pt idx="2">
                  <c:v>Business Insider, Inc.</c:v>
                </c:pt>
                <c:pt idx="3">
                  <c:v>12 Interactive LLC</c:v>
                </c:pt>
                <c:pt idx="4">
                  <c:v>SurfMyAds.com</c:v>
                </c:pt>
                <c:pt idx="5">
                  <c:v>ID.me, Inc.</c:v>
                </c:pt>
                <c:pt idx="6">
                  <c:v>VigLink, Inc.</c:v>
                </c:pt>
                <c:pt idx="7">
                  <c:v>Vertive, LLC (Offers.com, LLC.)</c:v>
                </c:pt>
                <c:pt idx="8">
                  <c:v>GSG North America LLC</c:v>
                </c:pt>
                <c:pt idx="9">
                  <c:v>HigherDOSE LLC</c:v>
                </c:pt>
              </c:strCache>
            </c:strRef>
          </c:cat>
          <c:val>
            <c:numRef>
              <c:f>Table!$G$7:$G$16</c:f>
              <c:numCache>
                <c:formatCode>0.0</c:formatCode>
                <c:ptCount val="10"/>
                <c:pt idx="0">
                  <c:v>74</c:v>
                </c:pt>
                <c:pt idx="1">
                  <c:v>789</c:v>
                </c:pt>
                <c:pt idx="2">
                  <c:v>370</c:v>
                </c:pt>
                <c:pt idx="3">
                  <c:v>150</c:v>
                </c:pt>
                <c:pt idx="4">
                  <c:v>15</c:v>
                </c:pt>
                <c:pt idx="5">
                  <c:v>372</c:v>
                </c:pt>
                <c:pt idx="6">
                  <c:v>143</c:v>
                </c:pt>
                <c:pt idx="7">
                  <c:v>20</c:v>
                </c:pt>
                <c:pt idx="8">
                  <c:v>14</c:v>
                </c:pt>
                <c:pt idx="9">
                  <c:v>9</c:v>
                </c:pt>
              </c:numCache>
            </c:numRef>
          </c:val>
          <c:extLst>
            <c:ext xmlns:c16="http://schemas.microsoft.com/office/drawing/2014/chart" uri="{C3380CC4-5D6E-409C-BE32-E72D297353CC}">
              <c16:uniqueId val="{00000001-5B1E-477D-8B58-3DAD073B5B9D}"/>
            </c:ext>
          </c:extLst>
        </c:ser>
        <c:dLbls>
          <c:showLegendKey val="0"/>
          <c:showVal val="0"/>
          <c:showCatName val="0"/>
          <c:showSerName val="0"/>
          <c:showPercent val="0"/>
          <c:showBubbleSize val="0"/>
        </c:dLbls>
        <c:gapWidth val="219"/>
        <c:overlap val="-27"/>
        <c:axId val="326032447"/>
        <c:axId val="326034943"/>
      </c:barChart>
      <c:catAx>
        <c:axId val="3260324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Partners</a:t>
                </a:r>
              </a:p>
            </c:rich>
          </c:tx>
          <c:layout>
            <c:manualLayout>
              <c:xMode val="edge"/>
              <c:yMode val="edge"/>
              <c:x val="0.40237379702537179"/>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034943"/>
        <c:crosses val="autoZero"/>
        <c:auto val="1"/>
        <c:lblAlgn val="ctr"/>
        <c:lblOffset val="100"/>
        <c:noMultiLvlLbl val="0"/>
      </c:catAx>
      <c:valAx>
        <c:axId val="3260349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No</a:t>
                </a:r>
                <a:r>
                  <a:rPr lang="en-GB" baseline="0"/>
                  <a:t> of Clicks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032447"/>
        <c:crosses val="autoZero"/>
        <c:crossBetween val="between"/>
      </c:valAx>
      <c:spPr>
        <a:noFill/>
        <a:ln>
          <a:noFill/>
        </a:ln>
        <a:effectLst/>
      </c:spPr>
    </c:plotArea>
    <c:legend>
      <c:legendPos val="t"/>
      <c:layout>
        <c:manualLayout>
          <c:xMode val="edge"/>
          <c:yMode val="edge"/>
          <c:x val="0.68960279965004379"/>
          <c:y val="0.3198611111111111"/>
          <c:w val="0.27079418197725286"/>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aseline="0"/>
              <a:t>Commision - Top 10 Partners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978937007874015"/>
          <c:y val="0.14798665791776028"/>
          <c:w val="0.79965507436570427"/>
          <c:h val="0.41324438611840186"/>
        </c:manualLayout>
      </c:layout>
      <c:barChart>
        <c:barDir val="col"/>
        <c:grouping val="clustered"/>
        <c:varyColors val="0"/>
        <c:ser>
          <c:idx val="0"/>
          <c:order val="0"/>
          <c:tx>
            <c:strRef>
              <c:f>Table!$I$6</c:f>
              <c:strCache>
                <c:ptCount val="1"/>
                <c:pt idx="0">
                  <c:v>Previous</c:v>
                </c:pt>
              </c:strCache>
            </c:strRef>
          </c:tx>
          <c:spPr>
            <a:solidFill>
              <a:schemeClr val="accent1"/>
            </a:solidFill>
            <a:ln>
              <a:noFill/>
            </a:ln>
            <a:effectLst/>
          </c:spPr>
          <c:invertIfNegative val="0"/>
          <c:cat>
            <c:strRef>
              <c:f>Table!$B$7:$B$16</c:f>
              <c:strCache>
                <c:ptCount val="10"/>
                <c:pt idx="0">
                  <c:v>Demand.io</c:v>
                </c:pt>
                <c:pt idx="1">
                  <c:v>Skimbit Ltd</c:v>
                </c:pt>
                <c:pt idx="2">
                  <c:v>Business Insider, Inc.</c:v>
                </c:pt>
                <c:pt idx="3">
                  <c:v>12 Interactive LLC</c:v>
                </c:pt>
                <c:pt idx="4">
                  <c:v>SurfMyAds.com</c:v>
                </c:pt>
                <c:pt idx="5">
                  <c:v>ID.me, Inc.</c:v>
                </c:pt>
                <c:pt idx="6">
                  <c:v>VigLink, Inc.</c:v>
                </c:pt>
                <c:pt idx="7">
                  <c:v>Vertive, LLC (Offers.com, LLC.)</c:v>
                </c:pt>
                <c:pt idx="8">
                  <c:v>GSG North America LLC</c:v>
                </c:pt>
                <c:pt idx="9">
                  <c:v>HigherDOSE LLC</c:v>
                </c:pt>
              </c:strCache>
            </c:strRef>
          </c:cat>
          <c:val>
            <c:numRef>
              <c:f>Table!$I$7:$I$16</c:f>
              <c:numCache>
                <c:formatCode>0.0</c:formatCode>
                <c:ptCount val="10"/>
                <c:pt idx="0">
                  <c:v>24.72</c:v>
                </c:pt>
                <c:pt idx="1">
                  <c:v>295.18</c:v>
                </c:pt>
                <c:pt idx="2">
                  <c:v>65.66</c:v>
                </c:pt>
                <c:pt idx="3">
                  <c:v>15.620000000000001</c:v>
                </c:pt>
                <c:pt idx="4">
                  <c:v>5.98</c:v>
                </c:pt>
                <c:pt idx="5">
                  <c:v>41.75</c:v>
                </c:pt>
                <c:pt idx="6">
                  <c:v>9.89</c:v>
                </c:pt>
                <c:pt idx="7">
                  <c:v>31.549999999999997</c:v>
                </c:pt>
                <c:pt idx="8">
                  <c:v>0</c:v>
                </c:pt>
                <c:pt idx="9">
                  <c:v>0</c:v>
                </c:pt>
              </c:numCache>
            </c:numRef>
          </c:val>
          <c:extLst>
            <c:ext xmlns:c16="http://schemas.microsoft.com/office/drawing/2014/chart" uri="{C3380CC4-5D6E-409C-BE32-E72D297353CC}">
              <c16:uniqueId val="{00000000-DFC6-4732-A137-14D35DD1395A}"/>
            </c:ext>
          </c:extLst>
        </c:ser>
        <c:ser>
          <c:idx val="1"/>
          <c:order val="1"/>
          <c:tx>
            <c:strRef>
              <c:f>Table!$J$6</c:f>
              <c:strCache>
                <c:ptCount val="1"/>
                <c:pt idx="0">
                  <c:v>Current </c:v>
                </c:pt>
              </c:strCache>
            </c:strRef>
          </c:tx>
          <c:spPr>
            <a:solidFill>
              <a:schemeClr val="accent2"/>
            </a:solidFill>
            <a:ln>
              <a:noFill/>
            </a:ln>
            <a:effectLst/>
          </c:spPr>
          <c:invertIfNegative val="0"/>
          <c:cat>
            <c:strRef>
              <c:f>Table!$B$7:$B$16</c:f>
              <c:strCache>
                <c:ptCount val="10"/>
                <c:pt idx="0">
                  <c:v>Demand.io</c:v>
                </c:pt>
                <c:pt idx="1">
                  <c:v>Skimbit Ltd</c:v>
                </c:pt>
                <c:pt idx="2">
                  <c:v>Business Insider, Inc.</c:v>
                </c:pt>
                <c:pt idx="3">
                  <c:v>12 Interactive LLC</c:v>
                </c:pt>
                <c:pt idx="4">
                  <c:v>SurfMyAds.com</c:v>
                </c:pt>
                <c:pt idx="5">
                  <c:v>ID.me, Inc.</c:v>
                </c:pt>
                <c:pt idx="6">
                  <c:v>VigLink, Inc.</c:v>
                </c:pt>
                <c:pt idx="7">
                  <c:v>Vertive, LLC (Offers.com, LLC.)</c:v>
                </c:pt>
                <c:pt idx="8">
                  <c:v>GSG North America LLC</c:v>
                </c:pt>
                <c:pt idx="9">
                  <c:v>HigherDOSE LLC</c:v>
                </c:pt>
              </c:strCache>
            </c:strRef>
          </c:cat>
          <c:val>
            <c:numRef>
              <c:f>Table!$J$7:$J$16</c:f>
              <c:numCache>
                <c:formatCode>0.0</c:formatCode>
                <c:ptCount val="10"/>
                <c:pt idx="0">
                  <c:v>53.72</c:v>
                </c:pt>
                <c:pt idx="1">
                  <c:v>282.08999999999997</c:v>
                </c:pt>
                <c:pt idx="2">
                  <c:v>200.1</c:v>
                </c:pt>
                <c:pt idx="3">
                  <c:v>25.15</c:v>
                </c:pt>
                <c:pt idx="4">
                  <c:v>23.090000000000003</c:v>
                </c:pt>
                <c:pt idx="5">
                  <c:v>13.430000000000001</c:v>
                </c:pt>
                <c:pt idx="6">
                  <c:v>12.68</c:v>
                </c:pt>
                <c:pt idx="7">
                  <c:v>19.11</c:v>
                </c:pt>
                <c:pt idx="8">
                  <c:v>66.490000000000009</c:v>
                </c:pt>
                <c:pt idx="9">
                  <c:v>54.17</c:v>
                </c:pt>
              </c:numCache>
            </c:numRef>
          </c:val>
          <c:extLst>
            <c:ext xmlns:c16="http://schemas.microsoft.com/office/drawing/2014/chart" uri="{C3380CC4-5D6E-409C-BE32-E72D297353CC}">
              <c16:uniqueId val="{00000001-DFC6-4732-A137-14D35DD1395A}"/>
            </c:ext>
          </c:extLst>
        </c:ser>
        <c:dLbls>
          <c:showLegendKey val="0"/>
          <c:showVal val="0"/>
          <c:showCatName val="0"/>
          <c:showSerName val="0"/>
          <c:showPercent val="0"/>
          <c:showBubbleSize val="0"/>
        </c:dLbls>
        <c:gapWidth val="219"/>
        <c:overlap val="-27"/>
        <c:axId val="326032447"/>
        <c:axId val="326034943"/>
      </c:barChart>
      <c:catAx>
        <c:axId val="3260324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Partners</a:t>
                </a:r>
              </a:p>
            </c:rich>
          </c:tx>
          <c:layout>
            <c:manualLayout>
              <c:xMode val="edge"/>
              <c:yMode val="edge"/>
              <c:x val="0.40237379702537179"/>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034943"/>
        <c:crosses val="autoZero"/>
        <c:auto val="1"/>
        <c:lblAlgn val="ctr"/>
        <c:lblOffset val="100"/>
        <c:noMultiLvlLbl val="0"/>
      </c:catAx>
      <c:valAx>
        <c:axId val="3260349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Commision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032447"/>
        <c:crosses val="autoZero"/>
        <c:crossBetween val="between"/>
      </c:valAx>
      <c:spPr>
        <a:noFill/>
        <a:ln>
          <a:noFill/>
        </a:ln>
        <a:effectLst/>
      </c:spPr>
    </c:plotArea>
    <c:legend>
      <c:legendPos val="t"/>
      <c:layout>
        <c:manualLayout>
          <c:xMode val="edge"/>
          <c:yMode val="edge"/>
          <c:x val="0.68960279965004379"/>
          <c:y val="0.3198611111111111"/>
          <c:w val="0.27079418197725286"/>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aseline="0"/>
              <a:t>CPA - Top 10 Partners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978937007874015"/>
          <c:y val="0.14798665791776028"/>
          <c:w val="0.79965507436570427"/>
          <c:h val="0.41324438611840186"/>
        </c:manualLayout>
      </c:layout>
      <c:barChart>
        <c:barDir val="col"/>
        <c:grouping val="clustered"/>
        <c:varyColors val="0"/>
        <c:ser>
          <c:idx val="0"/>
          <c:order val="0"/>
          <c:tx>
            <c:strRef>
              <c:f>Table!$L$6</c:f>
              <c:strCache>
                <c:ptCount val="1"/>
                <c:pt idx="0">
                  <c:v>Previous</c:v>
                </c:pt>
              </c:strCache>
            </c:strRef>
          </c:tx>
          <c:spPr>
            <a:solidFill>
              <a:schemeClr val="accent1"/>
            </a:solidFill>
            <a:ln>
              <a:noFill/>
            </a:ln>
            <a:effectLst/>
          </c:spPr>
          <c:invertIfNegative val="0"/>
          <c:cat>
            <c:strRef>
              <c:f>Table!$B$7:$B$16</c:f>
              <c:strCache>
                <c:ptCount val="10"/>
                <c:pt idx="0">
                  <c:v>Demand.io</c:v>
                </c:pt>
                <c:pt idx="1">
                  <c:v>Skimbit Ltd</c:v>
                </c:pt>
                <c:pt idx="2">
                  <c:v>Business Insider, Inc.</c:v>
                </c:pt>
                <c:pt idx="3">
                  <c:v>12 Interactive LLC</c:v>
                </c:pt>
                <c:pt idx="4">
                  <c:v>SurfMyAds.com</c:v>
                </c:pt>
                <c:pt idx="5">
                  <c:v>ID.me, Inc.</c:v>
                </c:pt>
                <c:pt idx="6">
                  <c:v>VigLink, Inc.</c:v>
                </c:pt>
                <c:pt idx="7">
                  <c:v>Vertive, LLC (Offers.com, LLC.)</c:v>
                </c:pt>
                <c:pt idx="8">
                  <c:v>GSG North America LLC</c:v>
                </c:pt>
                <c:pt idx="9">
                  <c:v>HigherDOSE LLC</c:v>
                </c:pt>
              </c:strCache>
            </c:strRef>
          </c:cat>
          <c:val>
            <c:numRef>
              <c:f>Table!$L$7:$L$16</c:f>
              <c:numCache>
                <c:formatCode>0.0</c:formatCode>
                <c:ptCount val="10"/>
                <c:pt idx="0">
                  <c:v>4.944</c:v>
                </c:pt>
                <c:pt idx="1">
                  <c:v>24.598333333333333</c:v>
                </c:pt>
                <c:pt idx="2">
                  <c:v>32.83</c:v>
                </c:pt>
                <c:pt idx="3">
                  <c:v>7.8100000000000005</c:v>
                </c:pt>
                <c:pt idx="4">
                  <c:v>5.98</c:v>
                </c:pt>
                <c:pt idx="5">
                  <c:v>5.21875</c:v>
                </c:pt>
                <c:pt idx="6">
                  <c:v>4.9450000000000003</c:v>
                </c:pt>
                <c:pt idx="7">
                  <c:v>3.9437499999999996</c:v>
                </c:pt>
                <c:pt idx="8">
                  <c:v>0</c:v>
                </c:pt>
                <c:pt idx="9">
                  <c:v>0</c:v>
                </c:pt>
              </c:numCache>
            </c:numRef>
          </c:val>
          <c:extLst>
            <c:ext xmlns:c16="http://schemas.microsoft.com/office/drawing/2014/chart" uri="{C3380CC4-5D6E-409C-BE32-E72D297353CC}">
              <c16:uniqueId val="{00000000-D424-4CB9-B484-0F00676EEF55}"/>
            </c:ext>
          </c:extLst>
        </c:ser>
        <c:ser>
          <c:idx val="1"/>
          <c:order val="1"/>
          <c:tx>
            <c:strRef>
              <c:f>Table!$M$6</c:f>
              <c:strCache>
                <c:ptCount val="1"/>
                <c:pt idx="0">
                  <c:v>Current </c:v>
                </c:pt>
              </c:strCache>
            </c:strRef>
          </c:tx>
          <c:spPr>
            <a:solidFill>
              <a:schemeClr val="accent2"/>
            </a:solidFill>
            <a:ln>
              <a:noFill/>
            </a:ln>
            <a:effectLst/>
          </c:spPr>
          <c:invertIfNegative val="0"/>
          <c:cat>
            <c:strRef>
              <c:f>Table!$B$7:$B$16</c:f>
              <c:strCache>
                <c:ptCount val="10"/>
                <c:pt idx="0">
                  <c:v>Demand.io</c:v>
                </c:pt>
                <c:pt idx="1">
                  <c:v>Skimbit Ltd</c:v>
                </c:pt>
                <c:pt idx="2">
                  <c:v>Business Insider, Inc.</c:v>
                </c:pt>
                <c:pt idx="3">
                  <c:v>12 Interactive LLC</c:v>
                </c:pt>
                <c:pt idx="4">
                  <c:v>SurfMyAds.com</c:v>
                </c:pt>
                <c:pt idx="5">
                  <c:v>ID.me, Inc.</c:v>
                </c:pt>
                <c:pt idx="6">
                  <c:v>VigLink, Inc.</c:v>
                </c:pt>
                <c:pt idx="7">
                  <c:v>Vertive, LLC (Offers.com, LLC.)</c:v>
                </c:pt>
                <c:pt idx="8">
                  <c:v>GSG North America LLC</c:v>
                </c:pt>
                <c:pt idx="9">
                  <c:v>HigherDOSE LLC</c:v>
                </c:pt>
              </c:strCache>
            </c:strRef>
          </c:cat>
          <c:val>
            <c:numRef>
              <c:f>Table!$M$7:$M$16</c:f>
              <c:numCache>
                <c:formatCode>0.0</c:formatCode>
                <c:ptCount val="10"/>
                <c:pt idx="0">
                  <c:v>4.8836363636363638</c:v>
                </c:pt>
                <c:pt idx="1">
                  <c:v>31.34333333333333</c:v>
                </c:pt>
                <c:pt idx="2">
                  <c:v>33.35</c:v>
                </c:pt>
                <c:pt idx="3">
                  <c:v>5.0299999999999994</c:v>
                </c:pt>
                <c:pt idx="4">
                  <c:v>5.7725000000000009</c:v>
                </c:pt>
                <c:pt idx="5">
                  <c:v>3.3575000000000004</c:v>
                </c:pt>
                <c:pt idx="6">
                  <c:v>4.2266666666666666</c:v>
                </c:pt>
                <c:pt idx="7">
                  <c:v>6.37</c:v>
                </c:pt>
                <c:pt idx="8">
                  <c:v>22.163333333333338</c:v>
                </c:pt>
                <c:pt idx="9">
                  <c:v>18.056666666666668</c:v>
                </c:pt>
              </c:numCache>
            </c:numRef>
          </c:val>
          <c:extLst>
            <c:ext xmlns:c16="http://schemas.microsoft.com/office/drawing/2014/chart" uri="{C3380CC4-5D6E-409C-BE32-E72D297353CC}">
              <c16:uniqueId val="{00000001-D424-4CB9-B484-0F00676EEF55}"/>
            </c:ext>
          </c:extLst>
        </c:ser>
        <c:dLbls>
          <c:showLegendKey val="0"/>
          <c:showVal val="0"/>
          <c:showCatName val="0"/>
          <c:showSerName val="0"/>
          <c:showPercent val="0"/>
          <c:showBubbleSize val="0"/>
        </c:dLbls>
        <c:gapWidth val="219"/>
        <c:overlap val="-27"/>
        <c:axId val="326032447"/>
        <c:axId val="326034943"/>
      </c:barChart>
      <c:catAx>
        <c:axId val="3260324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Partners</a:t>
                </a:r>
              </a:p>
            </c:rich>
          </c:tx>
          <c:layout>
            <c:manualLayout>
              <c:xMode val="edge"/>
              <c:yMode val="edge"/>
              <c:x val="0.40237379702537179"/>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034943"/>
        <c:crosses val="autoZero"/>
        <c:auto val="1"/>
        <c:lblAlgn val="ctr"/>
        <c:lblOffset val="100"/>
        <c:noMultiLvlLbl val="0"/>
      </c:catAx>
      <c:valAx>
        <c:axId val="3260349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032447"/>
        <c:crosses val="autoZero"/>
        <c:crossBetween val="between"/>
      </c:valAx>
      <c:spPr>
        <a:noFill/>
        <a:ln>
          <a:noFill/>
        </a:ln>
        <a:effectLst/>
      </c:spPr>
    </c:plotArea>
    <c:legend>
      <c:legendPos val="t"/>
      <c:layout>
        <c:manualLayout>
          <c:xMode val="edge"/>
          <c:yMode val="edge"/>
          <c:x val="0.68960279965004379"/>
          <c:y val="0.3198611111111111"/>
          <c:w val="0.27079418197725286"/>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Change ( since last week)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Overall_Perf!$E$5</c:f>
              <c:strCache>
                <c:ptCount val="1"/>
                <c:pt idx="0">
                  <c:v>% Change</c:v>
                </c:pt>
              </c:strCache>
            </c:strRef>
          </c:tx>
          <c:spPr>
            <a:solidFill>
              <a:schemeClr val="accent1"/>
            </a:solidFill>
            <a:ln>
              <a:noFill/>
            </a:ln>
            <a:effectLst/>
          </c:spPr>
          <c:invertIfNegative val="0"/>
          <c:cat>
            <c:strRef>
              <c:f>Overall_Perf!$B$6:$B$11</c:f>
              <c:strCache>
                <c:ptCount val="6"/>
                <c:pt idx="0">
                  <c:v>Sales</c:v>
                </c:pt>
                <c:pt idx="1">
                  <c:v>Clicks</c:v>
                </c:pt>
                <c:pt idx="2">
                  <c:v>Transactions (#Sales)</c:v>
                </c:pt>
                <c:pt idx="3">
                  <c:v>CPA</c:v>
                </c:pt>
                <c:pt idx="4">
                  <c:v>Average Sales per Day</c:v>
                </c:pt>
                <c:pt idx="5">
                  <c:v>% Share of Overall Business</c:v>
                </c:pt>
              </c:strCache>
            </c:strRef>
          </c:cat>
          <c:val>
            <c:numRef>
              <c:f>Overall_Perf!$E$6:$E$11</c:f>
              <c:numCache>
                <c:formatCode>0%</c:formatCode>
                <c:ptCount val="6"/>
                <c:pt idx="0">
                  <c:v>5.584059688423898E-2</c:v>
                </c:pt>
                <c:pt idx="1">
                  <c:v>1.5540754836663496E-2</c:v>
                </c:pt>
                <c:pt idx="2">
                  <c:v>0</c:v>
                </c:pt>
                <c:pt idx="3">
                  <c:v>0.1755220789467197</c:v>
                </c:pt>
                <c:pt idx="4">
                  <c:v>5.584059688423898E-2</c:v>
                </c:pt>
                <c:pt idx="5">
                  <c:v>5.5840596884238841E-2</c:v>
                </c:pt>
              </c:numCache>
            </c:numRef>
          </c:val>
          <c:extLst>
            <c:ext xmlns:c16="http://schemas.microsoft.com/office/drawing/2014/chart" uri="{C3380CC4-5D6E-409C-BE32-E72D297353CC}">
              <c16:uniqueId val="{00000000-4B15-448E-A69C-57FDE3505B36}"/>
            </c:ext>
          </c:extLst>
        </c:ser>
        <c:dLbls>
          <c:showLegendKey val="0"/>
          <c:showVal val="0"/>
          <c:showCatName val="0"/>
          <c:showSerName val="0"/>
          <c:showPercent val="0"/>
          <c:showBubbleSize val="0"/>
        </c:dLbls>
        <c:gapWidth val="219"/>
        <c:overlap val="-27"/>
        <c:axId val="241822784"/>
        <c:axId val="458935376"/>
      </c:barChart>
      <c:catAx>
        <c:axId val="241822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935376"/>
        <c:crosses val="autoZero"/>
        <c:auto val="1"/>
        <c:lblAlgn val="ctr"/>
        <c:lblOffset val="100"/>
        <c:noMultiLvlLbl val="0"/>
      </c:catAx>
      <c:valAx>
        <c:axId val="4589353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22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167640</xdr:colOff>
      <xdr:row>1</xdr:row>
      <xdr:rowOff>34290</xdr:rowOff>
    </xdr:from>
    <xdr:to>
      <xdr:col>8</xdr:col>
      <xdr:colOff>472440</xdr:colOff>
      <xdr:row>16</xdr:row>
      <xdr:rowOff>34290</xdr:rowOff>
    </xdr:to>
    <xdr:graphicFrame macro="">
      <xdr:nvGraphicFramePr>
        <xdr:cNvPr id="3" name="Chart 1">
          <a:extLst>
            <a:ext uri="{FF2B5EF4-FFF2-40B4-BE49-F238E27FC236}">
              <a16:creationId xmlns:a16="http://schemas.microsoft.com/office/drawing/2014/main" id="{9D013950-35BD-48E1-921C-3160AFE891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541020</xdr:colOff>
      <xdr:row>1</xdr:row>
      <xdr:rowOff>91440</xdr:rowOff>
    </xdr:from>
    <xdr:to>
      <xdr:col>16</xdr:col>
      <xdr:colOff>236220</xdr:colOff>
      <xdr:row>16</xdr:row>
      <xdr:rowOff>91440</xdr:rowOff>
    </xdr:to>
    <xdr:graphicFrame macro="">
      <xdr:nvGraphicFramePr>
        <xdr:cNvPr id="4" name="Chart 3">
          <a:extLst>
            <a:ext uri="{FF2B5EF4-FFF2-40B4-BE49-F238E27FC236}">
              <a16:creationId xmlns:a16="http://schemas.microsoft.com/office/drawing/2014/main" id="{9C725159-0FD6-4CF6-B67E-1F5C70EF8F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182880</xdr:colOff>
      <xdr:row>16</xdr:row>
      <xdr:rowOff>160020</xdr:rowOff>
    </xdr:from>
    <xdr:to>
      <xdr:col>8</xdr:col>
      <xdr:colOff>487680</xdr:colOff>
      <xdr:row>31</xdr:row>
      <xdr:rowOff>160020</xdr:rowOff>
    </xdr:to>
    <xdr:graphicFrame macro="">
      <xdr:nvGraphicFramePr>
        <xdr:cNvPr id="5" name="Chart 4">
          <a:extLst>
            <a:ext uri="{FF2B5EF4-FFF2-40B4-BE49-F238E27FC236}">
              <a16:creationId xmlns:a16="http://schemas.microsoft.com/office/drawing/2014/main" id="{0657C7A4-86B8-4F9E-8B30-A6089AA153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548640</xdr:colOff>
      <xdr:row>16</xdr:row>
      <xdr:rowOff>167640</xdr:rowOff>
    </xdr:from>
    <xdr:to>
      <xdr:col>16</xdr:col>
      <xdr:colOff>243840</xdr:colOff>
      <xdr:row>31</xdr:row>
      <xdr:rowOff>167640</xdr:rowOff>
    </xdr:to>
    <xdr:graphicFrame macro="">
      <xdr:nvGraphicFramePr>
        <xdr:cNvPr id="6" name="Chart 6">
          <a:extLst>
            <a:ext uri="{FF2B5EF4-FFF2-40B4-BE49-F238E27FC236}">
              <a16:creationId xmlns:a16="http://schemas.microsoft.com/office/drawing/2014/main" id="{5BC7FFF2-3C79-4B4C-884A-4ECE6A4B4C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342900</xdr:colOff>
      <xdr:row>1</xdr:row>
      <xdr:rowOff>72390</xdr:rowOff>
    </xdr:from>
    <xdr:to>
      <xdr:col>24</xdr:col>
      <xdr:colOff>38100</xdr:colOff>
      <xdr:row>16</xdr:row>
      <xdr:rowOff>72390</xdr:rowOff>
    </xdr:to>
    <xdr:graphicFrame macro="">
      <xdr:nvGraphicFramePr>
        <xdr:cNvPr id="2" name="Chart 1">
          <a:extLst>
            <a:ext uri="{FF2B5EF4-FFF2-40B4-BE49-F238E27FC236}">
              <a16:creationId xmlns:a16="http://schemas.microsoft.com/office/drawing/2014/main" id="{047E7979-6DB4-4A73-B3A0-D22275B07C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0</xdr:row>
      <xdr:rowOff>167640</xdr:rowOff>
    </xdr:from>
    <xdr:to>
      <xdr:col>7</xdr:col>
      <xdr:colOff>45720</xdr:colOff>
      <xdr:row>13</xdr:row>
      <xdr:rowOff>15240</xdr:rowOff>
    </xdr:to>
    <mc:AlternateContent xmlns:mc="http://schemas.openxmlformats.org/markup-compatibility/2006" xmlns:a14="http://schemas.microsoft.com/office/drawing/2010/main">
      <mc:Choice Requires="a14">
        <xdr:graphicFrame macro="">
          <xdr:nvGraphicFramePr>
            <xdr:cNvPr id="3" name="Date  1">
              <a:extLst>
                <a:ext uri="{FF2B5EF4-FFF2-40B4-BE49-F238E27FC236}">
                  <a16:creationId xmlns:a16="http://schemas.microsoft.com/office/drawing/2014/main" id="{014276A2-9A05-47D7-86A6-F0F7158B2485}"/>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5204460" y="167640"/>
              <a:ext cx="1874520" cy="22250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wakar Sharma" refreshedDate="44182.013892476854" createdVersion="6" refreshedVersion="6" minRefreshableVersion="3" recordCount="579" xr:uid="{00000000-000A-0000-FFFF-FFFF00000000}">
  <cacheSource type="worksheet">
    <worksheetSource ref="A1:AB580" sheet="Affiliate"/>
  </cacheSource>
  <cacheFields count="29">
    <cacheField name="Date " numFmtId="0">
      <sharedItems containsSemiMixedTypes="0" containsString="0" containsNumber="1" containsInteger="1" minValue="44074" maxValue="44087" count="14">
        <n v="44074"/>
        <n v="44075"/>
        <n v="44076"/>
        <n v="44077"/>
        <n v="44078"/>
        <n v="44079"/>
        <n v="44080"/>
        <n v="44084"/>
        <n v="44085"/>
        <n v="44086"/>
        <n v="44087"/>
        <n v="44081"/>
        <n v="44082"/>
        <n v="44083"/>
      </sharedItems>
    </cacheField>
    <cacheField name="Affiliate" numFmtId="0">
      <sharedItems containsBlank="1"/>
    </cacheField>
    <cacheField name="Clicks" numFmtId="0">
      <sharedItems containsString="0" containsBlank="1" containsNumber="1" containsInteger="1" minValue="1" maxValue="163"/>
    </cacheField>
    <cacheField name="GrossSales" numFmtId="0">
      <sharedItems containsString="0" containsBlank="1" containsNumber="1" minValue="0" maxValue="958.5"/>
    </cacheField>
    <cacheField name="Voids" numFmtId="0">
      <sharedItems containsString="0" containsBlank="1" containsNumber="1" containsInteger="1" minValue="0" maxValue="0"/>
    </cacheField>
    <cacheField name="NetSales" numFmtId="0">
      <sharedItems containsString="0" containsBlank="1" containsNumber="1" minValue="0" maxValue="958.5"/>
    </cacheField>
    <cacheField name="NumberofSales" numFmtId="0">
      <sharedItems containsString="0" containsBlank="1" containsNumber="1" containsInteger="1" minValue="0" maxValue="5"/>
    </cacheField>
    <cacheField name="ManualCredits" numFmtId="0">
      <sharedItems containsString="0" containsBlank="1" containsNumber="1" containsInteger="1" minValue="0" maxValue="0"/>
    </cacheField>
    <cacheField name="Commissions" numFmtId="0">
      <sharedItems containsString="0" containsBlank="1" containsNumber="1" minValue="0" maxValue="143.78"/>
    </cacheField>
    <cacheField name="Conversion" numFmtId="0">
      <sharedItems containsString="0" containsBlank="1" containsNumber="1" minValue="0" maxValue="150"/>
    </cacheField>
    <cacheField name="EPC" numFmtId="0">
      <sharedItems containsString="0" containsBlank="1" containsNumber="1" minValue="0" maxValue="2708.5"/>
    </cacheField>
    <cacheField name="AverageOrder" numFmtId="0">
      <sharedItems containsString="0" containsBlank="1" containsNumber="1" minValue="0" maxValue="421.8"/>
    </cacheField>
    <cacheField name="AffiliateID" numFmtId="0">
      <sharedItems containsString="0" containsBlank="1" containsNumber="1" containsInteger="1" minValue="64460" maxValue="2371233"/>
    </cacheField>
    <cacheField name="Organization" numFmtId="0">
      <sharedItems containsBlank="1" count="86">
        <s v="Business Insider, Inc."/>
        <s v="ID.me, Inc."/>
        <s v="Promo Codes Guide LLC "/>
        <s v="YIELDKIT GmbH"/>
        <s v="SavvyShop"/>
        <s v="12 Interactive LLC"/>
        <s v="Demand.io"/>
        <s v="Savings.com Inc"/>
        <s v="Vertive, LLC (Offers.com, LLC.)"/>
        <s v="Skimbit Ltd"/>
        <s v="Trends Green"/>
        <s v="Tuck.com, LLC"/>
        <s v="WW Affiliate"/>
        <s v="Reviewed.com"/>
        <s v="Mutzel Nutrition LLC"/>
        <s v="VigLink, Inc."/>
        <s v="LinkGains (HK) Limited"/>
        <s v="Meredith Corporation"/>
        <s v="digidip GmbH"/>
        <s v="CBS Interactive Inc."/>
        <s v="Pannon Digital Ltd"/>
        <s v="CouponCabin, LLC"/>
        <s v="SurfMyAds.com"/>
        <s v="adgoal GmbH"/>
        <s v="Vox Media, LLC"/>
        <s v="RIZKNOWS LLC"/>
        <s v="Mariano Cordoba"/>
        <s v="Mattress Advisor LLC"/>
        <s v="Smarty LLC"/>
        <s v="My Registry LLC"/>
        <s v="shareasaleaffnl@rmn.com"/>
        <s v="Capital Intellect, Inc."/>
        <s v="ANDHI ERMAWAN"/>
        <s v="BRAND REWARD (HONG KONG) LIMITED"/>
        <s v="VerticalScope Inc."/>
        <s v="CPAR Media Corp"/>
        <s v="Wildfire Systems, Inc."/>
        <s v="T susi ram dev"/>
        <s v="Maqsooda Begum"/>
        <s v="HiSensitives"/>
        <s v="Chichihaha Limited"/>
        <s v="CNN Interactive Group"/>
        <s v="Tong Shu Keung"/>
        <s v="Antifragile Fit"/>
        <s v="Ariel Dahan"/>
        <s v="REE SOLUTIONS INC"/>
        <s v="MK INFOTECH LIMITED"/>
        <s v="GSG North America LLC"/>
        <s v="Bin Yin"/>
        <s v="No Plans Inc."/>
        <s v="Arif Bilal"/>
        <s v="Julien CRESTOU"/>
        <s v="Syed Hammad Hussain"/>
        <s v="Liberty Labs Ltd"/>
        <s v="Olymp Technologies Inc"/>
        <s v="Reviews International"/>
        <s v="Weng-Kian D Oh"/>
        <s v="Mattress Media, LLC."/>
        <s v="HigherDOSE LLC"/>
        <s v="Influenced Media, LLC"/>
        <s v="Dang Cong Hoang"/>
        <s v="Mazitsol"/>
        <s v="Fresh Healthy Media, LLC"/>
        <s v="Miki Pavlov"/>
        <s v="Jo Seney"/>
        <s v="J &amp;amp; J Reviews LLC"/>
        <s v="hadia mehmood"/>
        <s v="OutWork24"/>
        <s v="naeem mohammad"/>
        <s v="Mattress Advisor"/>
        <s v="Kate Zach"/>
        <s v="yiwei zhang"/>
        <s v="william greiner"/>
        <s v="Buy Like Me Inc"/>
        <s v="Jonathan Chee Loong Chow"/>
        <s v="Shasta Tisdale"/>
        <s v="Refermate, LLC"/>
        <s v="TRAN ANH THAI"/>
        <s v="Karen Shopoff Rooff"/>
        <m/>
        <s v="James Morse"/>
        <s v="For Me To Coupon"/>
        <s v="eDealinfo USA Inc."/>
        <s v="Evreward LLC"/>
        <s v="Tabita Simrin"/>
        <s v="Kimberly Kornfeld"/>
      </sharedItems>
    </cacheField>
    <cacheField name="Website" numFmtId="0">
      <sharedItems containsBlank="1"/>
    </cacheField>
    <cacheField name="NumbSales" numFmtId="0">
      <sharedItems containsString="0" containsBlank="1" containsNumber="1" containsInteger="1" minValue="0" maxValue="5"/>
    </cacheField>
    <cacheField name="NumbLeads" numFmtId="0">
      <sharedItems containsString="0" containsBlank="1" containsNumber="1" containsInteger="1" minValue="0" maxValue="0"/>
    </cacheField>
    <cacheField name="NumbTwoTier" numFmtId="0">
      <sharedItems containsString="0" containsBlank="1" containsNumber="1" containsInteger="1" minValue="0" maxValue="0"/>
    </cacheField>
    <cacheField name="NumbBonuses" numFmtId="0">
      <sharedItems containsString="0" containsBlank="1" containsNumber="1" containsInteger="1" minValue="0" maxValue="0"/>
    </cacheField>
    <cacheField name="NumbPayPerCall" numFmtId="0">
      <sharedItems containsString="0" containsBlank="1" containsNumber="1" containsInteger="1" minValue="0" maxValue="0"/>
    </cacheField>
    <cacheField name="NumbLeapFrog" numFmtId="0">
      <sharedItems containsString="0" containsBlank="1" containsNumber="1" containsInteger="1" minValue="0" maxValue="0"/>
    </cacheField>
    <cacheField name="SaleCommissions" numFmtId="0">
      <sharedItems containsString="0" containsBlank="1" containsNumber="1" minValue="0" maxValue="143.78"/>
    </cacheField>
    <cacheField name="LeadCommissions" numFmtId="0">
      <sharedItems containsString="0" containsBlank="1" containsNumber="1" containsInteger="1" minValue="0" maxValue="0"/>
    </cacheField>
    <cacheField name="TwoTierCommissions" numFmtId="0">
      <sharedItems containsString="0" containsBlank="1" containsNumber="1" containsInteger="1" minValue="0" maxValue="0"/>
    </cacheField>
    <cacheField name="BonusCommissions" numFmtId="0">
      <sharedItems containsString="0" containsBlank="1" containsNumber="1" containsInteger="1" minValue="0" maxValue="0"/>
    </cacheField>
    <cacheField name="PayPerCallCommissions" numFmtId="0">
      <sharedItems containsString="0" containsBlank="1" containsNumber="1" containsInteger="1" minValue="0" maxValue="0"/>
    </cacheField>
    <cacheField name="LeapFrogCommissions" numFmtId="0">
      <sharedItems containsString="0" containsBlank="1" containsNumber="1" containsInteger="1" minValue="0" maxValue="0"/>
    </cacheField>
    <cacheField name="TransactionFees" numFmtId="0">
      <sharedItems containsString="0" containsBlank="1" containsNumber="1" minValue="0" maxValue="28.76"/>
    </cacheField>
    <cacheField name="Field1" numFmtId="0" formula="'Date '" databaseField="0"/>
  </cacheFields>
  <extLst>
    <ext xmlns:x14="http://schemas.microsoft.com/office/spreadsheetml/2009/9/main" uri="{725AE2AE-9491-48be-B2B4-4EB974FC3084}">
      <x14:pivotCacheDefinition pivotCacheId="8902367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9">
  <r>
    <x v="0"/>
    <s v="1088116-Business Insider Inc.-www.businessinsider.com"/>
    <n v="47"/>
    <n v="189"/>
    <n v="0"/>
    <n v="189"/>
    <n v="1"/>
    <n v="0"/>
    <n v="37.799999999999997"/>
    <n v="2.13"/>
    <n v="80.430000000000007"/>
    <n v="189"/>
    <n v="1088116"/>
    <x v="0"/>
    <s v="www.businessinsider.com"/>
    <n v="1"/>
    <n v="0"/>
    <n v="0"/>
    <n v="0"/>
    <n v="0"/>
    <n v="0"/>
    <n v="37.799999999999997"/>
    <n v="0"/>
    <n v="0"/>
    <n v="0"/>
    <n v="0"/>
    <n v="0"/>
    <n v="7.56"/>
  </r>
  <r>
    <x v="0"/>
    <s v="725033-ID.me Inc.-shop.id.me"/>
    <n v="54"/>
    <n v="349.52"/>
    <n v="0"/>
    <n v="349.52"/>
    <n v="2"/>
    <n v="0"/>
    <n v="10.49"/>
    <n v="3.7"/>
    <n v="19.43"/>
    <n v="174.76"/>
    <n v="725033"/>
    <x v="1"/>
    <s v="shop.id.me"/>
    <n v="2"/>
    <n v="0"/>
    <n v="0"/>
    <n v="0"/>
    <n v="0"/>
    <n v="0"/>
    <n v="10.49"/>
    <n v="0"/>
    <n v="0"/>
    <n v="0"/>
    <n v="0"/>
    <n v="0"/>
    <n v="2.1"/>
  </r>
  <r>
    <x v="0"/>
    <s v="2182271-Promo Codes Guide LLC-www.promocodes.guide"/>
    <n v="4"/>
    <n v="339.15"/>
    <n v="0"/>
    <n v="339.15"/>
    <n v="2"/>
    <n v="0"/>
    <n v="10.17"/>
    <n v="50"/>
    <n v="254.25"/>
    <n v="169.58"/>
    <n v="2182271"/>
    <x v="2"/>
    <s v="www.promocodes.guide"/>
    <n v="2"/>
    <n v="0"/>
    <n v="0"/>
    <n v="0"/>
    <n v="0"/>
    <n v="0"/>
    <n v="10.17"/>
    <n v="0"/>
    <n v="0"/>
    <n v="0"/>
    <n v="0"/>
    <n v="0"/>
    <n v="2.04"/>
  </r>
  <r>
    <x v="0"/>
    <s v="1238556-YIELDKIT GmbH-yieldkit.com"/>
    <n v="8"/>
    <n v="236.16"/>
    <n v="0"/>
    <n v="236.16"/>
    <n v="1"/>
    <n v="0"/>
    <n v="7.08"/>
    <n v="12.5"/>
    <n v="88.5"/>
    <n v="236.16"/>
    <n v="1238556"/>
    <x v="3"/>
    <s v="yieldkit.com"/>
    <n v="1"/>
    <n v="0"/>
    <n v="0"/>
    <n v="0"/>
    <n v="0"/>
    <n v="0"/>
    <n v="7.08"/>
    <n v="0"/>
    <n v="0"/>
    <n v="0"/>
    <n v="0"/>
    <n v="0"/>
    <n v="1.42"/>
  </r>
  <r>
    <x v="0"/>
    <s v="1372745-SavvyShop-savvyshopworld.com"/>
    <n v="3"/>
    <n v="176.12"/>
    <n v="0"/>
    <n v="176.12"/>
    <n v="1"/>
    <n v="0"/>
    <n v="5.28"/>
    <n v="33.33"/>
    <n v="176"/>
    <n v="176.12"/>
    <n v="1372745"/>
    <x v="4"/>
    <s v="savvyshopworld.com"/>
    <n v="1"/>
    <n v="0"/>
    <n v="0"/>
    <n v="0"/>
    <n v="0"/>
    <n v="0"/>
    <n v="5.28"/>
    <n v="0"/>
    <n v="0"/>
    <n v="0"/>
    <n v="0"/>
    <n v="0"/>
    <n v="1.06"/>
  </r>
  <r>
    <x v="0"/>
    <s v="201285-12 Interactive LLC-www.perkspot.com"/>
    <n v="28"/>
    <n v="165.12"/>
    <n v="0"/>
    <n v="165.12"/>
    <n v="1"/>
    <n v="0"/>
    <n v="4.95"/>
    <n v="3.57"/>
    <n v="17.68"/>
    <n v="165.12"/>
    <n v="201285"/>
    <x v="5"/>
    <s v="www.perkspot.com"/>
    <n v="1"/>
    <n v="0"/>
    <n v="0"/>
    <n v="0"/>
    <n v="0"/>
    <n v="0"/>
    <n v="4.95"/>
    <n v="0"/>
    <n v="0"/>
    <n v="0"/>
    <n v="0"/>
    <n v="0"/>
    <n v="0.99"/>
  </r>
  <r>
    <x v="0"/>
    <s v="445875-Demand.io-knoji.com"/>
    <n v="7"/>
    <n v="157.68"/>
    <n v="0"/>
    <n v="157.68"/>
    <n v="1"/>
    <n v="0"/>
    <n v="4.7300000000000004"/>
    <n v="14.29"/>
    <n v="67.569999999999993"/>
    <n v="157.68"/>
    <n v="445875"/>
    <x v="6"/>
    <s v="knoji.com"/>
    <n v="1"/>
    <n v="0"/>
    <n v="0"/>
    <n v="0"/>
    <n v="0"/>
    <n v="0"/>
    <n v="4.7300000000000004"/>
    <n v="0"/>
    <n v="0"/>
    <n v="0"/>
    <n v="0"/>
    <n v="0"/>
    <n v="0.95"/>
  </r>
  <r>
    <x v="0"/>
    <s v="140995-Savings.com Inc-www.savings.com"/>
    <n v="8"/>
    <n v="139.30000000000001"/>
    <n v="0"/>
    <n v="139.30000000000001"/>
    <n v="1"/>
    <n v="0"/>
    <n v="4.18"/>
    <n v="12.5"/>
    <n v="52.25"/>
    <n v="139.30000000000001"/>
    <n v="140995"/>
    <x v="7"/>
    <s v="www.savings.com"/>
    <n v="1"/>
    <n v="0"/>
    <n v="0"/>
    <n v="0"/>
    <n v="0"/>
    <n v="0"/>
    <n v="4.18"/>
    <n v="0"/>
    <n v="0"/>
    <n v="0"/>
    <n v="0"/>
    <n v="0"/>
    <n v="0.84"/>
  </r>
  <r>
    <x v="0"/>
    <s v="136482-Vertive LLC (Offers.com LLC.)-offers.com"/>
    <n v="2"/>
    <n v="36"/>
    <n v="0"/>
    <n v="36"/>
    <n v="1"/>
    <n v="0"/>
    <n v="1.08"/>
    <n v="50"/>
    <n v="54"/>
    <n v="36"/>
    <n v="136482"/>
    <x v="8"/>
    <s v="offers.com"/>
    <n v="1"/>
    <n v="0"/>
    <n v="0"/>
    <n v="0"/>
    <n v="0"/>
    <n v="0"/>
    <n v="1.08"/>
    <n v="0"/>
    <n v="0"/>
    <n v="0"/>
    <n v="0"/>
    <n v="0"/>
    <n v="0.22"/>
  </r>
  <r>
    <x v="0"/>
    <s v="314743-Skimbit Ltd-skimlinks.com"/>
    <n v="120"/>
    <n v="0"/>
    <n v="0"/>
    <n v="0"/>
    <n v="0"/>
    <n v="0"/>
    <n v="0"/>
    <n v="0"/>
    <n v="0"/>
    <n v="0"/>
    <n v="314743"/>
    <x v="9"/>
    <s v="skimlinks.com"/>
    <n v="0"/>
    <n v="0"/>
    <n v="0"/>
    <n v="0"/>
    <n v="0"/>
    <n v="0"/>
    <n v="0"/>
    <n v="0"/>
    <n v="0"/>
    <n v="0"/>
    <n v="0"/>
    <n v="0"/>
    <n v="0"/>
  </r>
  <r>
    <x v="0"/>
    <s v="1584217-Trends Green-topnaturalmattresses.com"/>
    <n v="54"/>
    <n v="0"/>
    <n v="0"/>
    <n v="0"/>
    <n v="0"/>
    <n v="0"/>
    <n v="0"/>
    <n v="0"/>
    <n v="0"/>
    <n v="0"/>
    <n v="1584217"/>
    <x v="10"/>
    <s v="topnaturalmattresses.com"/>
    <n v="0"/>
    <n v="0"/>
    <n v="0"/>
    <n v="0"/>
    <n v="0"/>
    <n v="0"/>
    <n v="0"/>
    <n v="0"/>
    <n v="0"/>
    <n v="0"/>
    <n v="0"/>
    <n v="0"/>
    <n v="0"/>
  </r>
  <r>
    <x v="0"/>
    <s v="1773960-Tuck.com LLC-tuck.com"/>
    <n v="16"/>
    <n v="0"/>
    <n v="0"/>
    <n v="0"/>
    <n v="0"/>
    <n v="0"/>
    <n v="0"/>
    <n v="0"/>
    <n v="0"/>
    <n v="0"/>
    <n v="1773960"/>
    <x v="11"/>
    <s v="tuck.com"/>
    <n v="0"/>
    <n v="0"/>
    <n v="0"/>
    <n v="0"/>
    <n v="0"/>
    <n v="0"/>
    <n v="0"/>
    <n v="0"/>
    <n v="0"/>
    <n v="0"/>
    <n v="0"/>
    <n v="0"/>
    <n v="0"/>
  </r>
  <r>
    <x v="0"/>
    <s v="2284878-Tuck.com LLC-www.sleepfoundation.org/"/>
    <n v="14"/>
    <n v="0"/>
    <n v="0"/>
    <n v="0"/>
    <n v="0"/>
    <n v="0"/>
    <n v="0"/>
    <n v="0"/>
    <n v="0"/>
    <n v="0"/>
    <n v="2284878"/>
    <x v="11"/>
    <s v="www.sleepfoundation.org/"/>
    <n v="0"/>
    <n v="0"/>
    <n v="0"/>
    <n v="0"/>
    <n v="0"/>
    <n v="0"/>
    <n v="0"/>
    <n v="0"/>
    <n v="0"/>
    <n v="0"/>
    <n v="0"/>
    <n v="0"/>
    <n v="0"/>
  </r>
  <r>
    <x v="0"/>
    <s v="2053730-WW Affiliate-www.yourbestmattress247.com"/>
    <n v="10"/>
    <n v="0"/>
    <n v="0"/>
    <n v="0"/>
    <n v="0"/>
    <n v="0"/>
    <n v="0"/>
    <n v="0"/>
    <n v="0"/>
    <n v="0"/>
    <n v="2053730"/>
    <x v="12"/>
    <s v="www.yourbestmattress247.com"/>
    <n v="0"/>
    <n v="0"/>
    <n v="0"/>
    <n v="0"/>
    <n v="0"/>
    <n v="0"/>
    <n v="0"/>
    <n v="0"/>
    <n v="0"/>
    <n v="0"/>
    <n v="0"/>
    <n v="0"/>
    <n v="0"/>
  </r>
  <r>
    <x v="0"/>
    <s v="748814-Reviewed.com-www.reviewed.com"/>
    <n v="9"/>
    <n v="0"/>
    <n v="0"/>
    <n v="0"/>
    <n v="0"/>
    <n v="0"/>
    <n v="0"/>
    <n v="0"/>
    <n v="0"/>
    <n v="0"/>
    <n v="748814"/>
    <x v="13"/>
    <s v="www.reviewed.com"/>
    <n v="0"/>
    <n v="0"/>
    <n v="0"/>
    <n v="0"/>
    <n v="0"/>
    <n v="0"/>
    <n v="0"/>
    <n v="0"/>
    <n v="0"/>
    <n v="0"/>
    <n v="0"/>
    <n v="0"/>
    <n v="0"/>
  </r>
  <r>
    <x v="0"/>
    <s v="1014069-Mutzel Nutrition LLC-highintensityhealth.com/"/>
    <n v="9"/>
    <n v="0"/>
    <n v="0"/>
    <n v="0"/>
    <n v="0"/>
    <n v="0"/>
    <n v="0"/>
    <n v="0"/>
    <n v="0"/>
    <n v="0"/>
    <n v="1014069"/>
    <x v="14"/>
    <s v="highintensityhealth.com/"/>
    <n v="0"/>
    <n v="0"/>
    <n v="0"/>
    <n v="0"/>
    <n v="0"/>
    <n v="0"/>
    <n v="0"/>
    <n v="0"/>
    <n v="0"/>
    <n v="0"/>
    <n v="0"/>
    <n v="0"/>
    <n v="0"/>
  </r>
  <r>
    <x v="0"/>
    <s v="389818-VigLink Inc.-www.viglink.com"/>
    <n v="8"/>
    <n v="0"/>
    <n v="0"/>
    <n v="0"/>
    <n v="0"/>
    <n v="0"/>
    <n v="0"/>
    <n v="0"/>
    <n v="0"/>
    <n v="0"/>
    <n v="389818"/>
    <x v="15"/>
    <s v="www.viglink.com"/>
    <n v="0"/>
    <n v="0"/>
    <n v="0"/>
    <n v="0"/>
    <n v="0"/>
    <n v="0"/>
    <n v="0"/>
    <n v="0"/>
    <n v="0"/>
    <n v="0"/>
    <n v="0"/>
    <n v="0"/>
    <n v="0"/>
  </r>
  <r>
    <x v="0"/>
    <s v="1413766-LinkGains (HK) Limited-www.hotdeals.com"/>
    <n v="6"/>
    <n v="0"/>
    <n v="0"/>
    <n v="0"/>
    <n v="0"/>
    <n v="0"/>
    <n v="0"/>
    <n v="0"/>
    <n v="0"/>
    <n v="0"/>
    <n v="1413766"/>
    <x v="16"/>
    <s v="www.hotdeals.com"/>
    <n v="0"/>
    <n v="0"/>
    <n v="0"/>
    <n v="0"/>
    <n v="0"/>
    <n v="0"/>
    <n v="0"/>
    <n v="0"/>
    <n v="0"/>
    <n v="0"/>
    <n v="0"/>
    <n v="0"/>
    <n v="0"/>
  </r>
  <r>
    <x v="0"/>
    <s v="1772040-Meredith Corporation-www.realsimple.com/"/>
    <n v="6"/>
    <n v="0"/>
    <n v="0"/>
    <n v="0"/>
    <n v="0"/>
    <n v="0"/>
    <n v="0"/>
    <n v="0"/>
    <n v="0"/>
    <n v="0"/>
    <n v="1772040"/>
    <x v="17"/>
    <s v="www.realsimple.com/"/>
    <n v="0"/>
    <n v="0"/>
    <n v="0"/>
    <n v="0"/>
    <n v="0"/>
    <n v="0"/>
    <n v="0"/>
    <n v="0"/>
    <n v="0"/>
    <n v="0"/>
    <n v="0"/>
    <n v="0"/>
    <n v="0"/>
  </r>
  <r>
    <x v="0"/>
    <s v="745788-digidip GmbH-digidip.net"/>
    <n v="5"/>
    <n v="0"/>
    <n v="0"/>
    <n v="0"/>
    <n v="0"/>
    <n v="0"/>
    <n v="0"/>
    <n v="0"/>
    <n v="0"/>
    <n v="0"/>
    <n v="745788"/>
    <x v="18"/>
    <s v="digidip.net"/>
    <n v="0"/>
    <n v="0"/>
    <n v="0"/>
    <n v="0"/>
    <n v="0"/>
    <n v="0"/>
    <n v="0"/>
    <n v="0"/>
    <n v="0"/>
    <n v="0"/>
    <n v="0"/>
    <n v="0"/>
    <n v="0"/>
  </r>
  <r>
    <x v="0"/>
    <s v="514792-CBS Interactive Inc.-www.cnet.com"/>
    <n v="3"/>
    <n v="0"/>
    <n v="0"/>
    <n v="0"/>
    <n v="0"/>
    <n v="0"/>
    <n v="0"/>
    <n v="0"/>
    <n v="0"/>
    <n v="0"/>
    <n v="514792"/>
    <x v="19"/>
    <s v="www.cnet.com"/>
    <n v="0"/>
    <n v="0"/>
    <n v="0"/>
    <n v="0"/>
    <n v="0"/>
    <n v="0"/>
    <n v="0"/>
    <n v="0"/>
    <n v="0"/>
    <n v="0"/>
    <n v="0"/>
    <n v="0"/>
    <n v="0"/>
  </r>
  <r>
    <x v="0"/>
    <s v="2243506-Pannon Digital Ltd-www.weightedblanketguides.com/"/>
    <n v="3"/>
    <n v="0"/>
    <n v="0"/>
    <n v="0"/>
    <n v="0"/>
    <n v="0"/>
    <n v="0"/>
    <n v="0"/>
    <n v="0"/>
    <n v="0"/>
    <n v="2243506"/>
    <x v="20"/>
    <s v="www.weightedblanketguides.com/"/>
    <n v="0"/>
    <n v="0"/>
    <n v="0"/>
    <n v="0"/>
    <n v="0"/>
    <n v="0"/>
    <n v="0"/>
    <n v="0"/>
    <n v="0"/>
    <n v="0"/>
    <n v="0"/>
    <n v="0"/>
    <n v="0"/>
  </r>
  <r>
    <x v="0"/>
    <s v="154911-CouponCabin LLC-www.couponcabin.com"/>
    <n v="2"/>
    <n v="0"/>
    <n v="0"/>
    <n v="0"/>
    <n v="0"/>
    <n v="0"/>
    <n v="0"/>
    <n v="0"/>
    <n v="0"/>
    <n v="0"/>
    <n v="154911"/>
    <x v="21"/>
    <s v="www.couponcabin.com"/>
    <n v="0"/>
    <n v="0"/>
    <n v="0"/>
    <n v="0"/>
    <n v="0"/>
    <n v="0"/>
    <n v="0"/>
    <n v="0"/>
    <n v="0"/>
    <n v="0"/>
    <n v="0"/>
    <n v="0"/>
    <n v="0"/>
  </r>
  <r>
    <x v="0"/>
    <s v="213636-SurfMyAds.com-www.promocodes.com"/>
    <n v="2"/>
    <n v="0"/>
    <n v="0"/>
    <n v="0"/>
    <n v="0"/>
    <n v="0"/>
    <n v="0"/>
    <n v="0"/>
    <n v="0"/>
    <n v="0"/>
    <n v="213636"/>
    <x v="22"/>
    <s v="www.promocodes.com"/>
    <n v="0"/>
    <n v="0"/>
    <n v="0"/>
    <n v="0"/>
    <n v="0"/>
    <n v="0"/>
    <n v="0"/>
    <n v="0"/>
    <n v="0"/>
    <n v="0"/>
    <n v="0"/>
    <n v="0"/>
    <n v="0"/>
  </r>
  <r>
    <x v="0"/>
    <s v="742098-adgoal GmbH-www.adgoal.net"/>
    <n v="2"/>
    <n v="0"/>
    <n v="0"/>
    <n v="0"/>
    <n v="0"/>
    <n v="0"/>
    <n v="0"/>
    <n v="0"/>
    <n v="0"/>
    <n v="0"/>
    <n v="742098"/>
    <x v="23"/>
    <s v="www.adgoal.net"/>
    <n v="0"/>
    <n v="0"/>
    <n v="0"/>
    <n v="0"/>
    <n v="0"/>
    <n v="0"/>
    <n v="0"/>
    <n v="0"/>
    <n v="0"/>
    <n v="0"/>
    <n v="0"/>
    <n v="0"/>
    <n v="0"/>
  </r>
  <r>
    <x v="0"/>
    <s v="1225169-Vox Media LLC-www.voxmedia.com/a/vm"/>
    <n v="2"/>
    <n v="0"/>
    <n v="0"/>
    <n v="0"/>
    <n v="0"/>
    <n v="0"/>
    <n v="0"/>
    <n v="0"/>
    <n v="0"/>
    <n v="0"/>
    <n v="1225169"/>
    <x v="24"/>
    <s v="www.voxmedia.com/a/vm"/>
    <n v="0"/>
    <n v="0"/>
    <n v="0"/>
    <n v="0"/>
    <n v="0"/>
    <n v="0"/>
    <n v="0"/>
    <n v="0"/>
    <n v="0"/>
    <n v="0"/>
    <n v="0"/>
    <n v="0"/>
    <n v="0"/>
  </r>
  <r>
    <x v="0"/>
    <s v="1242889-RIZKNOWS LLC-www.rizknows.com"/>
    <n v="2"/>
    <n v="0"/>
    <n v="0"/>
    <n v="0"/>
    <n v="0"/>
    <n v="0"/>
    <n v="0"/>
    <n v="0"/>
    <n v="0"/>
    <n v="0"/>
    <n v="1242889"/>
    <x v="25"/>
    <s v="www.rizknows.com"/>
    <n v="0"/>
    <n v="0"/>
    <n v="0"/>
    <n v="0"/>
    <n v="0"/>
    <n v="0"/>
    <n v="0"/>
    <n v="0"/>
    <n v="0"/>
    <n v="0"/>
    <n v="0"/>
    <n v="0"/>
    <n v="0"/>
  </r>
  <r>
    <x v="0"/>
    <s v="1519404-Mariano Cordoba-marianocordoba.me"/>
    <n v="2"/>
    <n v="0"/>
    <n v="0"/>
    <n v="0"/>
    <n v="0"/>
    <n v="0"/>
    <n v="0"/>
    <n v="0"/>
    <n v="0"/>
    <n v="0"/>
    <n v="1519404"/>
    <x v="26"/>
    <s v="marianocordoba.me"/>
    <n v="0"/>
    <n v="0"/>
    <n v="0"/>
    <n v="0"/>
    <n v="0"/>
    <n v="0"/>
    <n v="0"/>
    <n v="0"/>
    <n v="0"/>
    <n v="0"/>
    <n v="0"/>
    <n v="0"/>
    <n v="0"/>
  </r>
  <r>
    <x v="0"/>
    <s v="1578665-Mattress Advisor LLC-sleepopolis.com"/>
    <n v="2"/>
    <n v="0"/>
    <n v="0"/>
    <n v="0"/>
    <n v="0"/>
    <n v="0"/>
    <n v="0"/>
    <n v="0"/>
    <n v="0"/>
    <n v="0"/>
    <n v="1578665"/>
    <x v="27"/>
    <s v="sleepopolis.com"/>
    <n v="0"/>
    <n v="0"/>
    <n v="0"/>
    <n v="0"/>
    <n v="0"/>
    <n v="0"/>
    <n v="0"/>
    <n v="0"/>
    <n v="0"/>
    <n v="0"/>
    <n v="0"/>
    <n v="0"/>
    <n v="0"/>
  </r>
  <r>
    <x v="0"/>
    <s v="2118399-Smarty LLC-www.joinsmarty.com"/>
    <n v="2"/>
    <n v="0"/>
    <n v="0"/>
    <n v="0"/>
    <n v="0"/>
    <n v="0"/>
    <n v="0"/>
    <n v="0"/>
    <n v="0"/>
    <n v="0"/>
    <n v="2118399"/>
    <x v="28"/>
    <s v="www.joinsmarty.com"/>
    <n v="0"/>
    <n v="0"/>
    <n v="0"/>
    <n v="0"/>
    <n v="0"/>
    <n v="0"/>
    <n v="0"/>
    <n v="0"/>
    <n v="0"/>
    <n v="0"/>
    <n v="0"/>
    <n v="0"/>
    <n v="0"/>
  </r>
  <r>
    <x v="0"/>
    <s v="160437-My Registry LLC-myregistry.com"/>
    <n v="1"/>
    <n v="0"/>
    <n v="0"/>
    <n v="0"/>
    <n v="0"/>
    <n v="0"/>
    <n v="0"/>
    <n v="0"/>
    <n v="0"/>
    <n v="0"/>
    <n v="160437"/>
    <x v="29"/>
    <s v="myregistry.com"/>
    <n v="0"/>
    <n v="0"/>
    <n v="0"/>
    <n v="0"/>
    <n v="0"/>
    <n v="0"/>
    <n v="0"/>
    <n v="0"/>
    <n v="0"/>
    <n v="0"/>
    <n v="0"/>
    <n v="0"/>
    <n v="0"/>
  </r>
  <r>
    <x v="0"/>
    <s v="193744-shareasaleaffnl@rmn.com-www.retailmenot.com"/>
    <n v="1"/>
    <n v="0"/>
    <n v="0"/>
    <n v="0"/>
    <n v="0"/>
    <n v="0"/>
    <n v="0"/>
    <n v="0"/>
    <n v="0"/>
    <n v="0"/>
    <n v="193744"/>
    <x v="30"/>
    <s v="www.retailmenot.com"/>
    <n v="0"/>
    <n v="0"/>
    <n v="0"/>
    <n v="0"/>
    <n v="0"/>
    <n v="0"/>
    <n v="0"/>
    <n v="0"/>
    <n v="0"/>
    <n v="0"/>
    <n v="0"/>
    <n v="0"/>
    <n v="0"/>
  </r>
  <r>
    <x v="0"/>
    <s v="318676-Capital Intellect Inc.-www.befrugal.com"/>
    <n v="1"/>
    <n v="0"/>
    <n v="0"/>
    <n v="0"/>
    <n v="0"/>
    <n v="0"/>
    <n v="0"/>
    <n v="0"/>
    <n v="0"/>
    <n v="0"/>
    <n v="318676"/>
    <x v="31"/>
    <s v="www.befrugal.com"/>
    <n v="0"/>
    <n v="0"/>
    <n v="0"/>
    <n v="0"/>
    <n v="0"/>
    <n v="0"/>
    <n v="0"/>
    <n v="0"/>
    <n v="0"/>
    <n v="0"/>
    <n v="0"/>
    <n v="0"/>
    <n v="0"/>
  </r>
  <r>
    <x v="0"/>
    <s v="708786-ANDHI ERMAWAN-couponseeker.com salehunter.com"/>
    <n v="1"/>
    <n v="0"/>
    <n v="0"/>
    <n v="0"/>
    <n v="0"/>
    <n v="0"/>
    <n v="0"/>
    <n v="0"/>
    <n v="0"/>
    <n v="0"/>
    <n v="708786"/>
    <x v="32"/>
    <s v="couponseeker.com, salehunter.com"/>
    <n v="0"/>
    <n v="0"/>
    <n v="0"/>
    <n v="0"/>
    <n v="0"/>
    <n v="0"/>
    <n v="0"/>
    <n v="0"/>
    <n v="0"/>
    <n v="0"/>
    <n v="0"/>
    <n v="0"/>
    <n v="0"/>
  </r>
  <r>
    <x v="0"/>
    <s v="1273061-BRAND REWARD (HONG KONG) LIMITED-www.brandreward.com/"/>
    <n v="1"/>
    <n v="0"/>
    <n v="0"/>
    <n v="0"/>
    <n v="0"/>
    <n v="0"/>
    <n v="0"/>
    <n v="0"/>
    <n v="0"/>
    <n v="0"/>
    <n v="1273061"/>
    <x v="33"/>
    <s v="www.brandreward.com/"/>
    <n v="0"/>
    <n v="0"/>
    <n v="0"/>
    <n v="0"/>
    <n v="0"/>
    <n v="0"/>
    <n v="0"/>
    <n v="0"/>
    <n v="0"/>
    <n v="0"/>
    <n v="0"/>
    <n v="0"/>
    <n v="0"/>
  </r>
  <r>
    <x v="0"/>
    <s v="1307407-VerticalScope Inc.-thesleepjudge.com"/>
    <n v="1"/>
    <n v="0"/>
    <n v="0"/>
    <n v="0"/>
    <n v="0"/>
    <n v="0"/>
    <n v="0"/>
    <n v="0"/>
    <n v="0"/>
    <n v="0"/>
    <n v="1307407"/>
    <x v="34"/>
    <s v="thesleepjudge.com"/>
    <n v="0"/>
    <n v="0"/>
    <n v="0"/>
    <n v="0"/>
    <n v="0"/>
    <n v="0"/>
    <n v="0"/>
    <n v="0"/>
    <n v="0"/>
    <n v="0"/>
    <n v="0"/>
    <n v="0"/>
    <n v="0"/>
  </r>
  <r>
    <x v="0"/>
    <s v="1393373-CPAR Media Corp-www.coupongrind.com"/>
    <n v="1"/>
    <n v="0"/>
    <n v="0"/>
    <n v="0"/>
    <n v="0"/>
    <n v="0"/>
    <n v="0"/>
    <n v="0"/>
    <n v="0"/>
    <n v="0"/>
    <n v="1393373"/>
    <x v="35"/>
    <s v="www.coupongrind.com"/>
    <n v="0"/>
    <n v="0"/>
    <n v="0"/>
    <n v="0"/>
    <n v="0"/>
    <n v="0"/>
    <n v="0"/>
    <n v="0"/>
    <n v="0"/>
    <n v="0"/>
    <n v="0"/>
    <n v="0"/>
    <n v="0"/>
  </r>
  <r>
    <x v="0"/>
    <s v="1538097-Wildfire Systems Inc.-wildfire-corp.com"/>
    <n v="1"/>
    <n v="0"/>
    <n v="0"/>
    <n v="0"/>
    <n v="0"/>
    <n v="0"/>
    <n v="0"/>
    <n v="0"/>
    <n v="0"/>
    <n v="0"/>
    <n v="1538097"/>
    <x v="36"/>
    <s v="wildfire-corp.com"/>
    <n v="0"/>
    <n v="0"/>
    <n v="0"/>
    <n v="0"/>
    <n v="0"/>
    <n v="0"/>
    <n v="0"/>
    <n v="0"/>
    <n v="0"/>
    <n v="0"/>
    <n v="0"/>
    <n v="0"/>
    <n v="0"/>
  </r>
  <r>
    <x v="0"/>
    <s v="1665845-T susi ram dev-www.wannacoupons.com"/>
    <n v="1"/>
    <n v="0"/>
    <n v="0"/>
    <n v="0"/>
    <n v="0"/>
    <n v="0"/>
    <n v="0"/>
    <n v="0"/>
    <n v="0"/>
    <n v="0"/>
    <n v="1665845"/>
    <x v="37"/>
    <s v="www.wannacoupons.com"/>
    <n v="0"/>
    <n v="0"/>
    <n v="0"/>
    <n v="0"/>
    <n v="0"/>
    <n v="0"/>
    <n v="0"/>
    <n v="0"/>
    <n v="0"/>
    <n v="0"/>
    <n v="0"/>
    <n v="0"/>
    <n v="0"/>
  </r>
  <r>
    <x v="0"/>
    <s v="1938661-Maqsooda Begum-couponschic.com"/>
    <n v="1"/>
    <n v="0"/>
    <n v="0"/>
    <n v="0"/>
    <n v="0"/>
    <n v="0"/>
    <n v="0"/>
    <n v="0"/>
    <n v="0"/>
    <n v="0"/>
    <n v="1938661"/>
    <x v="38"/>
    <s v="couponschic.com"/>
    <n v="0"/>
    <n v="0"/>
    <n v="0"/>
    <n v="0"/>
    <n v="0"/>
    <n v="0"/>
    <n v="0"/>
    <n v="0"/>
    <n v="0"/>
    <n v="0"/>
    <n v="0"/>
    <n v="0"/>
    <n v="0"/>
  </r>
  <r>
    <x v="1"/>
    <s v="1772040-Meredith Corporation-www.realsimple.com/"/>
    <n v="6"/>
    <n v="170.1"/>
    <n v="0"/>
    <n v="170.1"/>
    <n v="1"/>
    <n v="0"/>
    <n v="30.62"/>
    <n v="16.670000000000002"/>
    <n v="510.33"/>
    <n v="170.1"/>
    <n v="1772040"/>
    <x v="17"/>
    <s v="www.realsimple.com/"/>
    <n v="1"/>
    <n v="0"/>
    <n v="0"/>
    <n v="0"/>
    <n v="0"/>
    <n v="0"/>
    <n v="30.62"/>
    <n v="0"/>
    <n v="0"/>
    <n v="0"/>
    <n v="0"/>
    <n v="0"/>
    <n v="6.12"/>
  </r>
  <r>
    <x v="1"/>
    <s v="2284878-Tuck.com LLC-www.sleepfoundation.org/"/>
    <n v="12"/>
    <n v="151.19999999999999"/>
    <n v="0"/>
    <n v="151.19999999999999"/>
    <n v="1"/>
    <n v="0"/>
    <n v="30.24"/>
    <n v="8.33"/>
    <n v="252"/>
    <n v="151.19999999999999"/>
    <n v="2284878"/>
    <x v="11"/>
    <s v="www.sleepfoundation.org/"/>
    <n v="1"/>
    <n v="0"/>
    <n v="0"/>
    <n v="0"/>
    <n v="0"/>
    <n v="0"/>
    <n v="30.24"/>
    <n v="0"/>
    <n v="0"/>
    <n v="0"/>
    <n v="0"/>
    <n v="0"/>
    <n v="6.05"/>
  </r>
  <r>
    <x v="1"/>
    <s v="1238556-YIELDKIT GmbH-yieldkit.com"/>
    <n v="8"/>
    <n v="350.4"/>
    <n v="0"/>
    <n v="350.4"/>
    <n v="2"/>
    <n v="0"/>
    <n v="10.52"/>
    <n v="25"/>
    <n v="131.5"/>
    <n v="175.2"/>
    <n v="1238556"/>
    <x v="3"/>
    <s v="yieldkit.com"/>
    <n v="2"/>
    <n v="0"/>
    <n v="0"/>
    <n v="0"/>
    <n v="0"/>
    <n v="0"/>
    <n v="10.52"/>
    <n v="0"/>
    <n v="0"/>
    <n v="0"/>
    <n v="0"/>
    <n v="0"/>
    <n v="2.11"/>
  </r>
  <r>
    <x v="1"/>
    <s v="389818-VigLink Inc.-www.viglink.com"/>
    <n v="16"/>
    <n v="329.45"/>
    <n v="0"/>
    <n v="329.45"/>
    <n v="2"/>
    <n v="0"/>
    <n v="9.89"/>
    <n v="12.5"/>
    <n v="61.81"/>
    <n v="164.73"/>
    <n v="389818"/>
    <x v="15"/>
    <s v="www.viglink.com"/>
    <n v="2"/>
    <n v="0"/>
    <n v="0"/>
    <n v="0"/>
    <n v="0"/>
    <n v="0"/>
    <n v="9.89"/>
    <n v="0"/>
    <n v="0"/>
    <n v="0"/>
    <n v="0"/>
    <n v="0"/>
    <n v="1.98"/>
  </r>
  <r>
    <x v="1"/>
    <s v="140995-Savings.com Inc-www.savings.com"/>
    <n v="8"/>
    <n v="312.60000000000002"/>
    <n v="0"/>
    <n v="312.60000000000002"/>
    <n v="2"/>
    <n v="0"/>
    <n v="9.3800000000000008"/>
    <n v="25"/>
    <n v="117.25"/>
    <n v="156.30000000000001"/>
    <n v="140995"/>
    <x v="7"/>
    <s v="www.savings.com"/>
    <n v="2"/>
    <n v="0"/>
    <n v="0"/>
    <n v="0"/>
    <n v="0"/>
    <n v="0"/>
    <n v="9.3800000000000008"/>
    <n v="0"/>
    <n v="0"/>
    <n v="0"/>
    <n v="0"/>
    <n v="0"/>
    <n v="1.87"/>
  </r>
  <r>
    <x v="1"/>
    <s v="742098-adgoal GmbH-www.adgoal.net"/>
    <n v="2"/>
    <n v="225.25"/>
    <n v="0"/>
    <n v="225.25"/>
    <n v="1"/>
    <n v="0"/>
    <n v="6.76"/>
    <n v="50"/>
    <n v="338"/>
    <n v="225.25"/>
    <n v="742098"/>
    <x v="23"/>
    <s v="www.adgoal.net"/>
    <n v="1"/>
    <n v="0"/>
    <n v="0"/>
    <n v="0"/>
    <n v="0"/>
    <n v="0"/>
    <n v="6.76"/>
    <n v="0"/>
    <n v="0"/>
    <n v="0"/>
    <n v="0"/>
    <n v="0"/>
    <n v="1.35"/>
  </r>
  <r>
    <x v="1"/>
    <s v="445875-Demand.io-knoji.com"/>
    <n v="12"/>
    <n v="209.44"/>
    <n v="0"/>
    <n v="209.44"/>
    <n v="1"/>
    <n v="0"/>
    <n v="6.28"/>
    <n v="8.33"/>
    <n v="52.33"/>
    <n v="209.44"/>
    <n v="445875"/>
    <x v="6"/>
    <s v="knoji.com"/>
    <n v="1"/>
    <n v="0"/>
    <n v="0"/>
    <n v="0"/>
    <n v="0"/>
    <n v="0"/>
    <n v="6.28"/>
    <n v="0"/>
    <n v="0"/>
    <n v="0"/>
    <n v="0"/>
    <n v="0"/>
    <n v="1.26"/>
  </r>
  <r>
    <x v="1"/>
    <s v="2053730-WW Affiliate-www.yourbestmattress247.com"/>
    <n v="11"/>
    <n v="181.3"/>
    <n v="0"/>
    <n v="181.3"/>
    <n v="1"/>
    <n v="0"/>
    <n v="5.44"/>
    <n v="9.09"/>
    <n v="49.45"/>
    <n v="181.3"/>
    <n v="2053730"/>
    <x v="12"/>
    <s v="www.yourbestmattress247.com"/>
    <n v="1"/>
    <n v="0"/>
    <n v="0"/>
    <n v="0"/>
    <n v="0"/>
    <n v="0"/>
    <n v="5.44"/>
    <n v="0"/>
    <n v="0"/>
    <n v="0"/>
    <n v="0"/>
    <n v="0"/>
    <n v="1.0900000000000001"/>
  </r>
  <r>
    <x v="1"/>
    <s v="314743-Skimbit Ltd-skimlinks.com"/>
    <n v="120"/>
    <n v="0"/>
    <n v="0"/>
    <n v="0"/>
    <n v="0"/>
    <n v="0"/>
    <n v="0"/>
    <n v="0"/>
    <n v="0"/>
    <n v="0"/>
    <n v="314743"/>
    <x v="9"/>
    <s v="skimlinks.com"/>
    <n v="0"/>
    <n v="0"/>
    <n v="0"/>
    <n v="0"/>
    <n v="0"/>
    <n v="0"/>
    <n v="0"/>
    <n v="0"/>
    <n v="0"/>
    <n v="0"/>
    <n v="0"/>
    <n v="0"/>
    <n v="0"/>
  </r>
  <r>
    <x v="1"/>
    <s v="1584217-Trends Green-topnaturalmattresses.com"/>
    <n v="56"/>
    <n v="0"/>
    <n v="0"/>
    <n v="0"/>
    <n v="0"/>
    <n v="0"/>
    <n v="0"/>
    <n v="0"/>
    <n v="0"/>
    <n v="0"/>
    <n v="1584217"/>
    <x v="10"/>
    <s v="topnaturalmattresses.com"/>
    <n v="0"/>
    <n v="0"/>
    <n v="0"/>
    <n v="0"/>
    <n v="0"/>
    <n v="0"/>
    <n v="0"/>
    <n v="0"/>
    <n v="0"/>
    <n v="0"/>
    <n v="0"/>
    <n v="0"/>
    <n v="0"/>
  </r>
  <r>
    <x v="1"/>
    <s v="725033-ID.me Inc.-shop.id.me"/>
    <n v="55"/>
    <n v="0"/>
    <n v="0"/>
    <n v="0"/>
    <n v="0"/>
    <n v="0"/>
    <n v="0"/>
    <n v="0"/>
    <n v="0"/>
    <n v="0"/>
    <n v="725033"/>
    <x v="1"/>
    <s v="shop.id.me"/>
    <n v="0"/>
    <n v="0"/>
    <n v="0"/>
    <n v="0"/>
    <n v="0"/>
    <n v="0"/>
    <n v="0"/>
    <n v="0"/>
    <n v="0"/>
    <n v="0"/>
    <n v="0"/>
    <n v="0"/>
    <n v="0"/>
  </r>
  <r>
    <x v="1"/>
    <s v="1088116-Business Insider Inc.-www.businessinsider.com"/>
    <n v="43"/>
    <n v="0"/>
    <n v="0"/>
    <n v="0"/>
    <n v="0"/>
    <n v="0"/>
    <n v="0"/>
    <n v="0"/>
    <n v="0"/>
    <n v="0"/>
    <n v="1088116"/>
    <x v="0"/>
    <s v="www.businessinsider.com"/>
    <n v="0"/>
    <n v="0"/>
    <n v="0"/>
    <n v="0"/>
    <n v="0"/>
    <n v="0"/>
    <n v="0"/>
    <n v="0"/>
    <n v="0"/>
    <n v="0"/>
    <n v="0"/>
    <n v="0"/>
    <n v="0"/>
  </r>
  <r>
    <x v="1"/>
    <s v="201285-12 Interactive LLC-www.perkspot.com"/>
    <n v="24"/>
    <n v="0"/>
    <n v="0"/>
    <n v="0"/>
    <n v="0"/>
    <n v="0"/>
    <n v="0"/>
    <n v="0"/>
    <n v="0"/>
    <n v="0"/>
    <n v="201285"/>
    <x v="5"/>
    <s v="www.perkspot.com"/>
    <n v="0"/>
    <n v="0"/>
    <n v="0"/>
    <n v="0"/>
    <n v="0"/>
    <n v="0"/>
    <n v="0"/>
    <n v="0"/>
    <n v="0"/>
    <n v="0"/>
    <n v="0"/>
    <n v="0"/>
    <n v="0"/>
  </r>
  <r>
    <x v="1"/>
    <s v="1773960-Tuck.com LLC-tuck.com"/>
    <n v="19"/>
    <n v="0"/>
    <n v="0"/>
    <n v="0"/>
    <n v="0"/>
    <n v="0"/>
    <n v="0"/>
    <n v="0"/>
    <n v="0"/>
    <n v="0"/>
    <n v="1773960"/>
    <x v="11"/>
    <s v="tuck.com"/>
    <n v="0"/>
    <n v="0"/>
    <n v="0"/>
    <n v="0"/>
    <n v="0"/>
    <n v="0"/>
    <n v="0"/>
    <n v="0"/>
    <n v="0"/>
    <n v="0"/>
    <n v="0"/>
    <n v="0"/>
    <n v="0"/>
  </r>
  <r>
    <x v="1"/>
    <s v="748814-Reviewed.com-www.reviewed.com"/>
    <n v="6"/>
    <n v="0"/>
    <n v="0"/>
    <n v="0"/>
    <n v="0"/>
    <n v="0"/>
    <n v="0"/>
    <n v="0"/>
    <n v="0"/>
    <n v="0"/>
    <n v="748814"/>
    <x v="13"/>
    <s v="www.reviewed.com"/>
    <n v="0"/>
    <n v="0"/>
    <n v="0"/>
    <n v="0"/>
    <n v="0"/>
    <n v="0"/>
    <n v="0"/>
    <n v="0"/>
    <n v="0"/>
    <n v="0"/>
    <n v="0"/>
    <n v="0"/>
    <n v="0"/>
  </r>
  <r>
    <x v="1"/>
    <s v="1014069-Mutzel Nutrition LLC-highintensityhealth.com/"/>
    <n v="6"/>
    <n v="0"/>
    <n v="0"/>
    <n v="0"/>
    <n v="0"/>
    <n v="0"/>
    <n v="0"/>
    <n v="0"/>
    <n v="0"/>
    <n v="0"/>
    <n v="1014069"/>
    <x v="14"/>
    <s v="highintensityhealth.com/"/>
    <n v="0"/>
    <n v="0"/>
    <n v="0"/>
    <n v="0"/>
    <n v="0"/>
    <n v="0"/>
    <n v="0"/>
    <n v="0"/>
    <n v="0"/>
    <n v="0"/>
    <n v="0"/>
    <n v="0"/>
    <n v="0"/>
  </r>
  <r>
    <x v="1"/>
    <s v="1413766-LinkGains (HK) Limited-www.hotdeals.com"/>
    <n v="5"/>
    <n v="0"/>
    <n v="0"/>
    <n v="0"/>
    <n v="0"/>
    <n v="0"/>
    <n v="0"/>
    <n v="0"/>
    <n v="0"/>
    <n v="0"/>
    <n v="1413766"/>
    <x v="16"/>
    <s v="www.hotdeals.com"/>
    <n v="0"/>
    <n v="0"/>
    <n v="0"/>
    <n v="0"/>
    <n v="0"/>
    <n v="0"/>
    <n v="0"/>
    <n v="0"/>
    <n v="0"/>
    <n v="0"/>
    <n v="0"/>
    <n v="0"/>
    <n v="0"/>
  </r>
  <r>
    <x v="1"/>
    <s v="136482-Vertive LLC (Offers.com LLC.)-offers.com"/>
    <n v="4"/>
    <n v="0"/>
    <n v="0"/>
    <n v="0"/>
    <n v="0"/>
    <n v="0"/>
    <n v="0"/>
    <n v="0"/>
    <n v="0"/>
    <n v="0"/>
    <n v="136482"/>
    <x v="8"/>
    <s v="offers.com"/>
    <n v="0"/>
    <n v="0"/>
    <n v="0"/>
    <n v="0"/>
    <n v="0"/>
    <n v="0"/>
    <n v="0"/>
    <n v="0"/>
    <n v="0"/>
    <n v="0"/>
    <n v="0"/>
    <n v="0"/>
    <n v="0"/>
  </r>
  <r>
    <x v="1"/>
    <s v="745788-digidip GmbH-digidip.net"/>
    <n v="4"/>
    <n v="0"/>
    <n v="0"/>
    <n v="0"/>
    <n v="0"/>
    <n v="0"/>
    <n v="0"/>
    <n v="0"/>
    <n v="0"/>
    <n v="0"/>
    <n v="745788"/>
    <x v="18"/>
    <s v="digidip.net"/>
    <n v="0"/>
    <n v="0"/>
    <n v="0"/>
    <n v="0"/>
    <n v="0"/>
    <n v="0"/>
    <n v="0"/>
    <n v="0"/>
    <n v="0"/>
    <n v="0"/>
    <n v="0"/>
    <n v="0"/>
    <n v="0"/>
  </r>
  <r>
    <x v="1"/>
    <s v="514792-CBS Interactive Inc.-www.cnet.com"/>
    <n v="3"/>
    <n v="0"/>
    <n v="0"/>
    <n v="0"/>
    <n v="0"/>
    <n v="0"/>
    <n v="0"/>
    <n v="0"/>
    <n v="0"/>
    <n v="0"/>
    <n v="514792"/>
    <x v="19"/>
    <s v="www.cnet.com"/>
    <n v="0"/>
    <n v="0"/>
    <n v="0"/>
    <n v="0"/>
    <n v="0"/>
    <n v="0"/>
    <n v="0"/>
    <n v="0"/>
    <n v="0"/>
    <n v="0"/>
    <n v="0"/>
    <n v="0"/>
    <n v="0"/>
  </r>
  <r>
    <x v="1"/>
    <s v="1242889-RIZKNOWS LLC-www.rizknows.com"/>
    <n v="3"/>
    <n v="0"/>
    <n v="0"/>
    <n v="0"/>
    <n v="0"/>
    <n v="0"/>
    <n v="0"/>
    <n v="0"/>
    <n v="0"/>
    <n v="0"/>
    <n v="1242889"/>
    <x v="25"/>
    <s v="www.rizknows.com"/>
    <n v="0"/>
    <n v="0"/>
    <n v="0"/>
    <n v="0"/>
    <n v="0"/>
    <n v="0"/>
    <n v="0"/>
    <n v="0"/>
    <n v="0"/>
    <n v="0"/>
    <n v="0"/>
    <n v="0"/>
    <n v="0"/>
  </r>
  <r>
    <x v="1"/>
    <s v="1519404-Mariano Cordoba-marianocordoba.me"/>
    <n v="3"/>
    <n v="0"/>
    <n v="0"/>
    <n v="0"/>
    <n v="0"/>
    <n v="0"/>
    <n v="0"/>
    <n v="0"/>
    <n v="0"/>
    <n v="0"/>
    <n v="1519404"/>
    <x v="26"/>
    <s v="marianocordoba.me"/>
    <n v="0"/>
    <n v="0"/>
    <n v="0"/>
    <n v="0"/>
    <n v="0"/>
    <n v="0"/>
    <n v="0"/>
    <n v="0"/>
    <n v="0"/>
    <n v="0"/>
    <n v="0"/>
    <n v="0"/>
    <n v="0"/>
  </r>
  <r>
    <x v="1"/>
    <s v="1578665-Mattress Advisor LLC-sleepopolis.com"/>
    <n v="3"/>
    <n v="0"/>
    <n v="0"/>
    <n v="0"/>
    <n v="0"/>
    <n v="0"/>
    <n v="0"/>
    <n v="0"/>
    <n v="0"/>
    <n v="0"/>
    <n v="1578665"/>
    <x v="27"/>
    <s v="sleepopolis.com"/>
    <n v="0"/>
    <n v="0"/>
    <n v="0"/>
    <n v="0"/>
    <n v="0"/>
    <n v="0"/>
    <n v="0"/>
    <n v="0"/>
    <n v="0"/>
    <n v="0"/>
    <n v="0"/>
    <n v="0"/>
    <n v="0"/>
  </r>
  <r>
    <x v="1"/>
    <s v="2159987-HiSensitives-hisensitives.com"/>
    <n v="3"/>
    <n v="0"/>
    <n v="0"/>
    <n v="0"/>
    <n v="0"/>
    <n v="0"/>
    <n v="0"/>
    <n v="0"/>
    <n v="0"/>
    <n v="0"/>
    <n v="2159987"/>
    <x v="39"/>
    <s v="hisensitives.com"/>
    <n v="0"/>
    <n v="0"/>
    <n v="0"/>
    <n v="0"/>
    <n v="0"/>
    <n v="0"/>
    <n v="0"/>
    <n v="0"/>
    <n v="0"/>
    <n v="0"/>
    <n v="0"/>
    <n v="0"/>
    <n v="0"/>
  </r>
  <r>
    <x v="1"/>
    <s v="2182271-Promo Codes Guide LLC-www.promocodes.guide"/>
    <n v="3"/>
    <n v="0"/>
    <n v="0"/>
    <n v="0"/>
    <n v="0"/>
    <n v="0"/>
    <n v="0"/>
    <n v="0"/>
    <n v="0"/>
    <n v="0"/>
    <n v="2182271"/>
    <x v="2"/>
    <s v="www.promocodes.guide"/>
    <n v="0"/>
    <n v="0"/>
    <n v="0"/>
    <n v="0"/>
    <n v="0"/>
    <n v="0"/>
    <n v="0"/>
    <n v="0"/>
    <n v="0"/>
    <n v="0"/>
    <n v="0"/>
    <n v="0"/>
    <n v="0"/>
  </r>
  <r>
    <x v="1"/>
    <s v="213636-SurfMyAds.com-www.promocodes.com"/>
    <n v="2"/>
    <n v="0"/>
    <n v="0"/>
    <n v="0"/>
    <n v="0"/>
    <n v="0"/>
    <n v="0"/>
    <n v="0"/>
    <n v="0"/>
    <n v="0"/>
    <n v="213636"/>
    <x v="22"/>
    <s v="www.promocodes.com"/>
    <n v="0"/>
    <n v="0"/>
    <n v="0"/>
    <n v="0"/>
    <n v="0"/>
    <n v="0"/>
    <n v="0"/>
    <n v="0"/>
    <n v="0"/>
    <n v="0"/>
    <n v="0"/>
    <n v="0"/>
    <n v="0"/>
  </r>
  <r>
    <x v="1"/>
    <s v="1140999-Chichihaha Limited-www.couponbirds.com"/>
    <n v="2"/>
    <n v="0"/>
    <n v="0"/>
    <n v="0"/>
    <n v="0"/>
    <n v="0"/>
    <n v="0"/>
    <n v="0"/>
    <n v="0"/>
    <n v="0"/>
    <n v="1140999"/>
    <x v="40"/>
    <s v="www.couponbirds.com"/>
    <n v="0"/>
    <n v="0"/>
    <n v="0"/>
    <n v="0"/>
    <n v="0"/>
    <n v="0"/>
    <n v="0"/>
    <n v="0"/>
    <n v="0"/>
    <n v="0"/>
    <n v="0"/>
    <n v="0"/>
    <n v="0"/>
  </r>
  <r>
    <x v="1"/>
    <s v="1225169-Vox Media LLC-www.voxmedia.com/a/vm"/>
    <n v="2"/>
    <n v="0"/>
    <n v="0"/>
    <n v="0"/>
    <n v="0"/>
    <n v="0"/>
    <n v="0"/>
    <n v="0"/>
    <n v="0"/>
    <n v="0"/>
    <n v="1225169"/>
    <x v="24"/>
    <s v="www.voxmedia.com/a/vm"/>
    <n v="0"/>
    <n v="0"/>
    <n v="0"/>
    <n v="0"/>
    <n v="0"/>
    <n v="0"/>
    <n v="0"/>
    <n v="0"/>
    <n v="0"/>
    <n v="0"/>
    <n v="0"/>
    <n v="0"/>
    <n v="0"/>
  </r>
  <r>
    <x v="1"/>
    <s v="1372745-SavvyShop-savvyshopworld.com"/>
    <n v="2"/>
    <n v="0"/>
    <n v="0"/>
    <n v="0"/>
    <n v="0"/>
    <n v="0"/>
    <n v="0"/>
    <n v="0"/>
    <n v="0"/>
    <n v="0"/>
    <n v="1372745"/>
    <x v="4"/>
    <s v="savvyshopworld.com"/>
    <n v="0"/>
    <n v="0"/>
    <n v="0"/>
    <n v="0"/>
    <n v="0"/>
    <n v="0"/>
    <n v="0"/>
    <n v="0"/>
    <n v="0"/>
    <n v="0"/>
    <n v="0"/>
    <n v="0"/>
    <n v="0"/>
  </r>
  <r>
    <x v="1"/>
    <s v="2029250-CNN Interactive Group-www.cnn.com/cnn-underscored/"/>
    <n v="2"/>
    <n v="0"/>
    <n v="0"/>
    <n v="0"/>
    <n v="0"/>
    <n v="0"/>
    <n v="0"/>
    <n v="0"/>
    <n v="0"/>
    <n v="0"/>
    <n v="2029250"/>
    <x v="41"/>
    <s v="www.cnn.com/cnn-underscored/"/>
    <n v="0"/>
    <n v="0"/>
    <n v="0"/>
    <n v="0"/>
    <n v="0"/>
    <n v="0"/>
    <n v="0"/>
    <n v="0"/>
    <n v="0"/>
    <n v="0"/>
    <n v="0"/>
    <n v="0"/>
    <n v="0"/>
  </r>
  <r>
    <x v="1"/>
    <s v="2243506-Pannon Digital Ltd-www.weightedblanketguides.com/"/>
    <n v="2"/>
    <n v="0"/>
    <n v="0"/>
    <n v="0"/>
    <n v="0"/>
    <n v="0"/>
    <n v="0"/>
    <n v="0"/>
    <n v="0"/>
    <n v="0"/>
    <n v="2243506"/>
    <x v="20"/>
    <s v="www.weightedblanketguides.com/"/>
    <n v="0"/>
    <n v="0"/>
    <n v="0"/>
    <n v="0"/>
    <n v="0"/>
    <n v="0"/>
    <n v="0"/>
    <n v="0"/>
    <n v="0"/>
    <n v="0"/>
    <n v="0"/>
    <n v="0"/>
    <n v="0"/>
  </r>
  <r>
    <x v="1"/>
    <s v="154911-CouponCabin LLC-www.couponcabin.com"/>
    <n v="1"/>
    <n v="0"/>
    <n v="0"/>
    <n v="0"/>
    <n v="0"/>
    <n v="0"/>
    <n v="0"/>
    <n v="0"/>
    <n v="0"/>
    <n v="0"/>
    <n v="154911"/>
    <x v="21"/>
    <s v="www.couponcabin.com"/>
    <n v="0"/>
    <n v="0"/>
    <n v="0"/>
    <n v="0"/>
    <n v="0"/>
    <n v="0"/>
    <n v="0"/>
    <n v="0"/>
    <n v="0"/>
    <n v="0"/>
    <n v="0"/>
    <n v="0"/>
    <n v="0"/>
  </r>
  <r>
    <x v="1"/>
    <s v="318676-Capital Intellect Inc.-www.befrugal.com"/>
    <n v="1"/>
    <n v="0"/>
    <n v="0"/>
    <n v="0"/>
    <n v="0"/>
    <n v="0"/>
    <n v="0"/>
    <n v="0"/>
    <n v="0"/>
    <n v="0"/>
    <n v="318676"/>
    <x v="31"/>
    <s v="www.befrugal.com"/>
    <n v="0"/>
    <n v="0"/>
    <n v="0"/>
    <n v="0"/>
    <n v="0"/>
    <n v="0"/>
    <n v="0"/>
    <n v="0"/>
    <n v="0"/>
    <n v="0"/>
    <n v="0"/>
    <n v="0"/>
    <n v="0"/>
  </r>
  <r>
    <x v="1"/>
    <s v="534553-Tong Shu Keung-www.getcouponcodes.com"/>
    <n v="1"/>
    <n v="0"/>
    <n v="0"/>
    <n v="0"/>
    <n v="0"/>
    <n v="0"/>
    <n v="0"/>
    <n v="0"/>
    <n v="0"/>
    <n v="0"/>
    <n v="534553"/>
    <x v="42"/>
    <s v="www.getcouponcodes.com"/>
    <n v="0"/>
    <n v="0"/>
    <n v="0"/>
    <n v="0"/>
    <n v="0"/>
    <n v="0"/>
    <n v="0"/>
    <n v="0"/>
    <n v="0"/>
    <n v="0"/>
    <n v="0"/>
    <n v="0"/>
    <n v="0"/>
  </r>
  <r>
    <x v="1"/>
    <s v="708786-ANDHI ERMAWAN-couponseeker.com salehunter.com"/>
    <n v="1"/>
    <n v="0"/>
    <n v="0"/>
    <n v="0"/>
    <n v="0"/>
    <n v="0"/>
    <n v="0"/>
    <n v="0"/>
    <n v="0"/>
    <n v="0"/>
    <n v="708786"/>
    <x v="32"/>
    <s v="couponseeker.com, salehunter.com"/>
    <n v="0"/>
    <n v="0"/>
    <n v="0"/>
    <n v="0"/>
    <n v="0"/>
    <n v="0"/>
    <n v="0"/>
    <n v="0"/>
    <n v="0"/>
    <n v="0"/>
    <n v="0"/>
    <n v="0"/>
    <n v="0"/>
  </r>
  <r>
    <x v="1"/>
    <s v="930703-Antifragile Fit-antifragile.fit"/>
    <n v="1"/>
    <n v="0"/>
    <n v="0"/>
    <n v="0"/>
    <n v="0"/>
    <n v="0"/>
    <n v="0"/>
    <n v="0"/>
    <n v="0"/>
    <n v="0"/>
    <n v="930703"/>
    <x v="43"/>
    <s v="antifragile.fit"/>
    <n v="0"/>
    <n v="0"/>
    <n v="0"/>
    <n v="0"/>
    <n v="0"/>
    <n v="0"/>
    <n v="0"/>
    <n v="0"/>
    <n v="0"/>
    <n v="0"/>
    <n v="0"/>
    <n v="0"/>
    <n v="0"/>
  </r>
  <r>
    <x v="1"/>
    <s v="992267-Ariel Dahan-story-click.com"/>
    <n v="1"/>
    <n v="0"/>
    <n v="0"/>
    <n v="0"/>
    <n v="0"/>
    <n v="0"/>
    <n v="0"/>
    <n v="0"/>
    <n v="0"/>
    <n v="0"/>
    <n v="992267"/>
    <x v="44"/>
    <s v="story-click.com"/>
    <n v="0"/>
    <n v="0"/>
    <n v="0"/>
    <n v="0"/>
    <n v="0"/>
    <n v="0"/>
    <n v="0"/>
    <n v="0"/>
    <n v="0"/>
    <n v="0"/>
    <n v="0"/>
    <n v="0"/>
    <n v="0"/>
  </r>
  <r>
    <x v="1"/>
    <s v="1375544-REE SOLUTIONS INC-www.reecoupons.com"/>
    <n v="1"/>
    <n v="0"/>
    <n v="0"/>
    <n v="0"/>
    <n v="0"/>
    <n v="0"/>
    <n v="0"/>
    <n v="0"/>
    <n v="0"/>
    <n v="0"/>
    <n v="1375544"/>
    <x v="45"/>
    <s v="www.reecoupons.com"/>
    <n v="0"/>
    <n v="0"/>
    <n v="0"/>
    <n v="0"/>
    <n v="0"/>
    <n v="0"/>
    <n v="0"/>
    <n v="0"/>
    <n v="0"/>
    <n v="0"/>
    <n v="0"/>
    <n v="0"/>
    <n v="0"/>
  </r>
  <r>
    <x v="1"/>
    <s v="1418817-MK INFOTECH LIMITED-www.anycodes.com"/>
    <n v="1"/>
    <n v="0"/>
    <n v="0"/>
    <n v="0"/>
    <n v="0"/>
    <n v="0"/>
    <n v="0"/>
    <n v="0"/>
    <n v="0"/>
    <n v="0"/>
    <n v="1418817"/>
    <x v="46"/>
    <s v="www.anycodes.com"/>
    <n v="0"/>
    <n v="0"/>
    <n v="0"/>
    <n v="0"/>
    <n v="0"/>
    <n v="0"/>
    <n v="0"/>
    <n v="0"/>
    <n v="0"/>
    <n v="0"/>
    <n v="0"/>
    <n v="0"/>
    <n v="0"/>
  </r>
  <r>
    <x v="1"/>
    <s v="1663605-GSG North America LLC-coupons.businessinsider.com/"/>
    <n v="1"/>
    <n v="0"/>
    <n v="0"/>
    <n v="0"/>
    <n v="0"/>
    <n v="0"/>
    <n v="0"/>
    <n v="0"/>
    <n v="0"/>
    <n v="0"/>
    <n v="1663605"/>
    <x v="47"/>
    <s v="coupons.businessinsider.com/"/>
    <n v="0"/>
    <n v="0"/>
    <n v="0"/>
    <n v="0"/>
    <n v="0"/>
    <n v="0"/>
    <n v="0"/>
    <n v="0"/>
    <n v="0"/>
    <n v="0"/>
    <n v="0"/>
    <n v="0"/>
    <n v="0"/>
  </r>
  <r>
    <x v="1"/>
    <s v="1738672-Bin Yin-www.couponpa.com"/>
    <n v="1"/>
    <n v="0"/>
    <n v="0"/>
    <n v="0"/>
    <n v="0"/>
    <n v="0"/>
    <n v="0"/>
    <n v="0"/>
    <n v="0"/>
    <n v="0"/>
    <n v="1738672"/>
    <x v="48"/>
    <s v="www.couponpa.com"/>
    <n v="0"/>
    <n v="0"/>
    <n v="0"/>
    <n v="0"/>
    <n v="0"/>
    <n v="0"/>
    <n v="0"/>
    <n v="0"/>
    <n v="0"/>
    <n v="0"/>
    <n v="0"/>
    <n v="0"/>
    <n v="0"/>
  </r>
  <r>
    <x v="1"/>
    <s v="2017970-No Plans Inc.-girlsnightinclub.com"/>
    <n v="1"/>
    <n v="0"/>
    <n v="0"/>
    <n v="0"/>
    <n v="0"/>
    <n v="0"/>
    <n v="0"/>
    <n v="0"/>
    <n v="0"/>
    <n v="0"/>
    <n v="2017970"/>
    <x v="49"/>
    <s v="girlsnightinclub.com"/>
    <n v="0"/>
    <n v="0"/>
    <n v="0"/>
    <n v="0"/>
    <n v="0"/>
    <n v="0"/>
    <n v="0"/>
    <n v="0"/>
    <n v="0"/>
    <n v="0"/>
    <n v="0"/>
    <n v="0"/>
    <n v="0"/>
  </r>
  <r>
    <x v="1"/>
    <s v="2075116-Arif Bilal-www.fivestarcoupon.com/"/>
    <n v="1"/>
    <n v="0"/>
    <n v="0"/>
    <n v="0"/>
    <n v="0"/>
    <n v="0"/>
    <n v="0"/>
    <n v="0"/>
    <n v="0"/>
    <n v="0"/>
    <n v="2075116"/>
    <x v="50"/>
    <s v="www.fivestarcoupon.com/"/>
    <n v="0"/>
    <n v="0"/>
    <n v="0"/>
    <n v="0"/>
    <n v="0"/>
    <n v="0"/>
    <n v="0"/>
    <n v="0"/>
    <n v="0"/>
    <n v="0"/>
    <n v="0"/>
    <n v="0"/>
    <n v="0"/>
  </r>
  <r>
    <x v="2"/>
    <s v="314743-Skimbit Ltd-skimlinks.com"/>
    <n v="119"/>
    <n v="287.3"/>
    <n v="0"/>
    <n v="287.3"/>
    <n v="3"/>
    <n v="0"/>
    <n v="43.1"/>
    <n v="2.52"/>
    <n v="36.22"/>
    <n v="95.77"/>
    <n v="314743"/>
    <x v="9"/>
    <s v="skimlinks.com"/>
    <n v="3"/>
    <n v="0"/>
    <n v="0"/>
    <n v="0"/>
    <n v="0"/>
    <n v="0"/>
    <n v="43.1"/>
    <n v="0"/>
    <n v="0"/>
    <n v="0"/>
    <n v="0"/>
    <n v="0"/>
    <n v="8.6199999999999992"/>
  </r>
  <r>
    <x v="2"/>
    <s v="1088116-Business Insider Inc.-www.businessinsider.com"/>
    <n v="68"/>
    <n v="139.30000000000001"/>
    <n v="0"/>
    <n v="139.30000000000001"/>
    <n v="1"/>
    <n v="0"/>
    <n v="27.86"/>
    <n v="1.47"/>
    <n v="40.97"/>
    <n v="139.30000000000001"/>
    <n v="1088116"/>
    <x v="0"/>
    <s v="www.businessinsider.com"/>
    <n v="1"/>
    <n v="0"/>
    <n v="0"/>
    <n v="0"/>
    <n v="0"/>
    <n v="0"/>
    <n v="27.86"/>
    <n v="0"/>
    <n v="0"/>
    <n v="0"/>
    <n v="0"/>
    <n v="0"/>
    <n v="5.57"/>
  </r>
  <r>
    <x v="2"/>
    <s v="201285-12 Interactive LLC-www.perkspot.com"/>
    <n v="28"/>
    <n v="355.6"/>
    <n v="0"/>
    <n v="355.6"/>
    <n v="1"/>
    <n v="0"/>
    <n v="10.67"/>
    <n v="3.57"/>
    <n v="38.11"/>
    <n v="355.6"/>
    <n v="201285"/>
    <x v="5"/>
    <s v="www.perkspot.com"/>
    <n v="1"/>
    <n v="0"/>
    <n v="0"/>
    <n v="0"/>
    <n v="0"/>
    <n v="0"/>
    <n v="10.67"/>
    <n v="0"/>
    <n v="0"/>
    <n v="0"/>
    <n v="0"/>
    <n v="0"/>
    <n v="2.13"/>
  </r>
  <r>
    <x v="2"/>
    <s v="725033-ID.me Inc.-shop.id.me"/>
    <n v="47"/>
    <n v="207.2"/>
    <n v="0"/>
    <n v="207.2"/>
    <n v="1"/>
    <n v="0"/>
    <n v="6.22"/>
    <n v="2.13"/>
    <n v="13.23"/>
    <n v="207.2"/>
    <n v="725033"/>
    <x v="1"/>
    <s v="shop.id.me"/>
    <n v="1"/>
    <n v="0"/>
    <n v="0"/>
    <n v="0"/>
    <n v="0"/>
    <n v="0"/>
    <n v="6.22"/>
    <n v="0"/>
    <n v="0"/>
    <n v="0"/>
    <n v="0"/>
    <n v="0"/>
    <n v="1.24"/>
  </r>
  <r>
    <x v="2"/>
    <s v="445875-Demand.io-knoji.com"/>
    <n v="12"/>
    <n v="185.5"/>
    <n v="0"/>
    <n v="185.5"/>
    <n v="1"/>
    <n v="0"/>
    <n v="5.56"/>
    <n v="8.33"/>
    <n v="46.33"/>
    <n v="185.5"/>
    <n v="445875"/>
    <x v="6"/>
    <s v="knoji.com"/>
    <n v="1"/>
    <n v="0"/>
    <n v="0"/>
    <n v="0"/>
    <n v="0"/>
    <n v="0"/>
    <n v="5.56"/>
    <n v="0"/>
    <n v="0"/>
    <n v="0"/>
    <n v="0"/>
    <n v="0"/>
    <n v="1.1100000000000001"/>
  </r>
  <r>
    <x v="2"/>
    <s v="136482-Vertive LLC (Offers.com LLC.)-offers.com"/>
    <n v="2"/>
    <n v="174.3"/>
    <n v="0"/>
    <n v="174.3"/>
    <n v="1"/>
    <n v="0"/>
    <n v="5.23"/>
    <n v="50"/>
    <n v="261.5"/>
    <n v="174.3"/>
    <n v="136482"/>
    <x v="8"/>
    <s v="offers.com"/>
    <n v="1"/>
    <n v="0"/>
    <n v="0"/>
    <n v="0"/>
    <n v="0"/>
    <n v="0"/>
    <n v="5.23"/>
    <n v="0"/>
    <n v="0"/>
    <n v="0"/>
    <n v="0"/>
    <n v="0"/>
    <n v="1.05"/>
  </r>
  <r>
    <x v="2"/>
    <s v="1375544-REE SOLUTIONS INC-www.reecoupons.com"/>
    <n v="2"/>
    <n v="174.3"/>
    <n v="0"/>
    <n v="174.3"/>
    <n v="1"/>
    <n v="0"/>
    <n v="5.23"/>
    <n v="50"/>
    <n v="261.5"/>
    <n v="174.3"/>
    <n v="1375544"/>
    <x v="45"/>
    <s v="www.reecoupons.com"/>
    <n v="1"/>
    <n v="0"/>
    <n v="0"/>
    <n v="0"/>
    <n v="0"/>
    <n v="0"/>
    <n v="5.23"/>
    <n v="0"/>
    <n v="0"/>
    <n v="0"/>
    <n v="0"/>
    <n v="0"/>
    <n v="1.05"/>
  </r>
  <r>
    <x v="2"/>
    <s v="2053730-WW Affiliate-www.yourbestmattress247.com"/>
    <n v="9"/>
    <n v="150"/>
    <n v="0"/>
    <n v="150"/>
    <n v="1"/>
    <n v="0"/>
    <n v="4.5"/>
    <n v="11.11"/>
    <n v="50"/>
    <n v="150"/>
    <n v="2053730"/>
    <x v="12"/>
    <s v="www.yourbestmattress247.com"/>
    <n v="1"/>
    <n v="0"/>
    <n v="0"/>
    <n v="0"/>
    <n v="0"/>
    <n v="0"/>
    <n v="4.5"/>
    <n v="0"/>
    <n v="0"/>
    <n v="0"/>
    <n v="0"/>
    <n v="0"/>
    <n v="0.9"/>
  </r>
  <r>
    <x v="2"/>
    <s v="1584217-Trends Green-topnaturalmattresses.com"/>
    <n v="46"/>
    <n v="0"/>
    <n v="0"/>
    <n v="0"/>
    <n v="0"/>
    <n v="0"/>
    <n v="0"/>
    <n v="0"/>
    <n v="0"/>
    <n v="0"/>
    <n v="1584217"/>
    <x v="10"/>
    <s v="topnaturalmattresses.com"/>
    <n v="0"/>
    <n v="0"/>
    <n v="0"/>
    <n v="0"/>
    <n v="0"/>
    <n v="0"/>
    <n v="0"/>
    <n v="0"/>
    <n v="0"/>
    <n v="0"/>
    <n v="0"/>
    <n v="0"/>
    <n v="0"/>
  </r>
  <r>
    <x v="2"/>
    <s v="389818-VigLink Inc.-www.viglink.com"/>
    <n v="16"/>
    <n v="0"/>
    <n v="0"/>
    <n v="0"/>
    <n v="0"/>
    <n v="0"/>
    <n v="0"/>
    <n v="0"/>
    <n v="0"/>
    <n v="0"/>
    <n v="389818"/>
    <x v="15"/>
    <s v="www.viglink.com"/>
    <n v="0"/>
    <n v="0"/>
    <n v="0"/>
    <n v="0"/>
    <n v="0"/>
    <n v="0"/>
    <n v="0"/>
    <n v="0"/>
    <n v="0"/>
    <n v="0"/>
    <n v="0"/>
    <n v="0"/>
    <n v="0"/>
  </r>
  <r>
    <x v="2"/>
    <s v="1773960-Tuck.com LLC-tuck.com"/>
    <n v="14"/>
    <n v="0"/>
    <n v="0"/>
    <n v="0"/>
    <n v="0"/>
    <n v="0"/>
    <n v="0"/>
    <n v="0"/>
    <n v="0"/>
    <n v="0"/>
    <n v="1773960"/>
    <x v="11"/>
    <s v="tuck.com"/>
    <n v="0"/>
    <n v="0"/>
    <n v="0"/>
    <n v="0"/>
    <n v="0"/>
    <n v="0"/>
    <n v="0"/>
    <n v="0"/>
    <n v="0"/>
    <n v="0"/>
    <n v="0"/>
    <n v="0"/>
    <n v="0"/>
  </r>
  <r>
    <x v="2"/>
    <s v="2284878-Tuck.com LLC-www.sleepfoundation.org/"/>
    <n v="12"/>
    <n v="0"/>
    <n v="0"/>
    <n v="0"/>
    <n v="0"/>
    <n v="0"/>
    <n v="0"/>
    <n v="0"/>
    <n v="0"/>
    <n v="0"/>
    <n v="2284878"/>
    <x v="11"/>
    <s v="www.sleepfoundation.org/"/>
    <n v="0"/>
    <n v="0"/>
    <n v="0"/>
    <n v="0"/>
    <n v="0"/>
    <n v="0"/>
    <n v="0"/>
    <n v="0"/>
    <n v="0"/>
    <n v="0"/>
    <n v="0"/>
    <n v="0"/>
    <n v="0"/>
  </r>
  <r>
    <x v="2"/>
    <s v="748814-Reviewed.com-www.reviewed.com"/>
    <n v="6"/>
    <n v="0"/>
    <n v="0"/>
    <n v="0"/>
    <n v="0"/>
    <n v="0"/>
    <n v="0"/>
    <n v="0"/>
    <n v="0"/>
    <n v="0"/>
    <n v="748814"/>
    <x v="13"/>
    <s v="www.reviewed.com"/>
    <n v="0"/>
    <n v="0"/>
    <n v="0"/>
    <n v="0"/>
    <n v="0"/>
    <n v="0"/>
    <n v="0"/>
    <n v="0"/>
    <n v="0"/>
    <n v="0"/>
    <n v="0"/>
    <n v="0"/>
    <n v="0"/>
  </r>
  <r>
    <x v="2"/>
    <s v="1014069-Mutzel Nutrition LLC-highintensityhealth.com/"/>
    <n v="6"/>
    <n v="0"/>
    <n v="0"/>
    <n v="0"/>
    <n v="0"/>
    <n v="0"/>
    <n v="0"/>
    <n v="0"/>
    <n v="0"/>
    <n v="0"/>
    <n v="1014069"/>
    <x v="14"/>
    <s v="highintensityhealth.com/"/>
    <n v="0"/>
    <n v="0"/>
    <n v="0"/>
    <n v="0"/>
    <n v="0"/>
    <n v="0"/>
    <n v="0"/>
    <n v="0"/>
    <n v="0"/>
    <n v="0"/>
    <n v="0"/>
    <n v="0"/>
    <n v="0"/>
  </r>
  <r>
    <x v="2"/>
    <s v="1413766-LinkGains (HK) Limited-www.hotdeals.com"/>
    <n v="6"/>
    <n v="0"/>
    <n v="0"/>
    <n v="0"/>
    <n v="0"/>
    <n v="0"/>
    <n v="0"/>
    <n v="0"/>
    <n v="0"/>
    <n v="0"/>
    <n v="1413766"/>
    <x v="16"/>
    <s v="www.hotdeals.com"/>
    <n v="0"/>
    <n v="0"/>
    <n v="0"/>
    <n v="0"/>
    <n v="0"/>
    <n v="0"/>
    <n v="0"/>
    <n v="0"/>
    <n v="0"/>
    <n v="0"/>
    <n v="0"/>
    <n v="0"/>
    <n v="0"/>
  </r>
  <r>
    <x v="2"/>
    <s v="140995-Savings.com Inc-www.savings.com"/>
    <n v="5"/>
    <n v="0"/>
    <n v="0"/>
    <n v="0"/>
    <n v="0"/>
    <n v="0"/>
    <n v="0"/>
    <n v="0"/>
    <n v="0"/>
    <n v="0"/>
    <n v="140995"/>
    <x v="7"/>
    <s v="www.savings.com"/>
    <n v="0"/>
    <n v="0"/>
    <n v="0"/>
    <n v="0"/>
    <n v="0"/>
    <n v="0"/>
    <n v="0"/>
    <n v="0"/>
    <n v="0"/>
    <n v="0"/>
    <n v="0"/>
    <n v="0"/>
    <n v="0"/>
  </r>
  <r>
    <x v="2"/>
    <s v="514792-CBS Interactive Inc.-www.cnet.com"/>
    <n v="4"/>
    <n v="0"/>
    <n v="0"/>
    <n v="0"/>
    <n v="0"/>
    <n v="0"/>
    <n v="0"/>
    <n v="0"/>
    <n v="0"/>
    <n v="0"/>
    <n v="514792"/>
    <x v="19"/>
    <s v="www.cnet.com"/>
    <n v="0"/>
    <n v="0"/>
    <n v="0"/>
    <n v="0"/>
    <n v="0"/>
    <n v="0"/>
    <n v="0"/>
    <n v="0"/>
    <n v="0"/>
    <n v="0"/>
    <n v="0"/>
    <n v="0"/>
    <n v="0"/>
  </r>
  <r>
    <x v="2"/>
    <s v="745788-digidip GmbH-digidip.net"/>
    <n v="4"/>
    <n v="0"/>
    <n v="0"/>
    <n v="0"/>
    <n v="0"/>
    <n v="0"/>
    <n v="0"/>
    <n v="0"/>
    <n v="0"/>
    <n v="0"/>
    <n v="745788"/>
    <x v="18"/>
    <s v="digidip.net"/>
    <n v="0"/>
    <n v="0"/>
    <n v="0"/>
    <n v="0"/>
    <n v="0"/>
    <n v="0"/>
    <n v="0"/>
    <n v="0"/>
    <n v="0"/>
    <n v="0"/>
    <n v="0"/>
    <n v="0"/>
    <n v="0"/>
  </r>
  <r>
    <x v="2"/>
    <s v="1238556-YIELDKIT GmbH-yieldkit.com"/>
    <n v="4"/>
    <n v="0"/>
    <n v="0"/>
    <n v="0"/>
    <n v="0"/>
    <n v="0"/>
    <n v="0"/>
    <n v="0"/>
    <n v="0"/>
    <n v="0"/>
    <n v="1238556"/>
    <x v="3"/>
    <s v="yieldkit.com"/>
    <n v="0"/>
    <n v="0"/>
    <n v="0"/>
    <n v="0"/>
    <n v="0"/>
    <n v="0"/>
    <n v="0"/>
    <n v="0"/>
    <n v="0"/>
    <n v="0"/>
    <n v="0"/>
    <n v="0"/>
    <n v="0"/>
  </r>
  <r>
    <x v="2"/>
    <s v="154911-CouponCabin LLC-www.couponcabin.com"/>
    <n v="2"/>
    <n v="0"/>
    <n v="0"/>
    <n v="0"/>
    <n v="0"/>
    <n v="0"/>
    <n v="0"/>
    <n v="0"/>
    <n v="0"/>
    <n v="0"/>
    <n v="154911"/>
    <x v="21"/>
    <s v="www.couponcabin.com"/>
    <n v="0"/>
    <n v="0"/>
    <n v="0"/>
    <n v="0"/>
    <n v="0"/>
    <n v="0"/>
    <n v="0"/>
    <n v="0"/>
    <n v="0"/>
    <n v="0"/>
    <n v="0"/>
    <n v="0"/>
    <n v="0"/>
  </r>
  <r>
    <x v="2"/>
    <s v="193744-shareasaleaffnl@rmn.com-www.retailmenot.com"/>
    <n v="2"/>
    <n v="0"/>
    <n v="0"/>
    <n v="0"/>
    <n v="0"/>
    <n v="0"/>
    <n v="0"/>
    <n v="0"/>
    <n v="0"/>
    <n v="0"/>
    <n v="193744"/>
    <x v="30"/>
    <s v="www.retailmenot.com"/>
    <n v="0"/>
    <n v="0"/>
    <n v="0"/>
    <n v="0"/>
    <n v="0"/>
    <n v="0"/>
    <n v="0"/>
    <n v="0"/>
    <n v="0"/>
    <n v="0"/>
    <n v="0"/>
    <n v="0"/>
    <n v="0"/>
  </r>
  <r>
    <x v="2"/>
    <s v="213636-SurfMyAds.com-www.promocodes.com"/>
    <n v="2"/>
    <n v="0"/>
    <n v="0"/>
    <n v="0"/>
    <n v="0"/>
    <n v="0"/>
    <n v="0"/>
    <n v="0"/>
    <n v="0"/>
    <n v="0"/>
    <n v="213636"/>
    <x v="22"/>
    <s v="www.promocodes.com"/>
    <n v="0"/>
    <n v="0"/>
    <n v="0"/>
    <n v="0"/>
    <n v="0"/>
    <n v="0"/>
    <n v="0"/>
    <n v="0"/>
    <n v="0"/>
    <n v="0"/>
    <n v="0"/>
    <n v="0"/>
    <n v="0"/>
  </r>
  <r>
    <x v="2"/>
    <s v="742098-adgoal GmbH-www.adgoal.net"/>
    <n v="2"/>
    <n v="0"/>
    <n v="0"/>
    <n v="0"/>
    <n v="0"/>
    <n v="0"/>
    <n v="0"/>
    <n v="0"/>
    <n v="0"/>
    <n v="0"/>
    <n v="742098"/>
    <x v="23"/>
    <s v="www.adgoal.net"/>
    <n v="0"/>
    <n v="0"/>
    <n v="0"/>
    <n v="0"/>
    <n v="0"/>
    <n v="0"/>
    <n v="0"/>
    <n v="0"/>
    <n v="0"/>
    <n v="0"/>
    <n v="0"/>
    <n v="0"/>
    <n v="0"/>
  </r>
  <r>
    <x v="2"/>
    <s v="1140999-Chichihaha Limited-www.couponbirds.com"/>
    <n v="2"/>
    <n v="0"/>
    <n v="0"/>
    <n v="0"/>
    <n v="0"/>
    <n v="0"/>
    <n v="0"/>
    <n v="0"/>
    <n v="0"/>
    <n v="0"/>
    <n v="1140999"/>
    <x v="40"/>
    <s v="www.couponbirds.com"/>
    <n v="0"/>
    <n v="0"/>
    <n v="0"/>
    <n v="0"/>
    <n v="0"/>
    <n v="0"/>
    <n v="0"/>
    <n v="0"/>
    <n v="0"/>
    <n v="0"/>
    <n v="0"/>
    <n v="0"/>
    <n v="0"/>
  </r>
  <r>
    <x v="2"/>
    <s v="1225169-Vox Media LLC-www.voxmedia.com/a/vm"/>
    <n v="2"/>
    <n v="0"/>
    <n v="0"/>
    <n v="0"/>
    <n v="0"/>
    <n v="0"/>
    <n v="0"/>
    <n v="0"/>
    <n v="0"/>
    <n v="0"/>
    <n v="1225169"/>
    <x v="24"/>
    <s v="www.voxmedia.com/a/vm"/>
    <n v="0"/>
    <n v="0"/>
    <n v="0"/>
    <n v="0"/>
    <n v="0"/>
    <n v="0"/>
    <n v="0"/>
    <n v="0"/>
    <n v="0"/>
    <n v="0"/>
    <n v="0"/>
    <n v="0"/>
    <n v="0"/>
  </r>
  <r>
    <x v="2"/>
    <s v="1242889-RIZKNOWS LLC-www.rizknows.com"/>
    <n v="2"/>
    <n v="0"/>
    <n v="0"/>
    <n v="0"/>
    <n v="0"/>
    <n v="0"/>
    <n v="0"/>
    <n v="0"/>
    <n v="0"/>
    <n v="0"/>
    <n v="1242889"/>
    <x v="25"/>
    <s v="www.rizknows.com"/>
    <n v="0"/>
    <n v="0"/>
    <n v="0"/>
    <n v="0"/>
    <n v="0"/>
    <n v="0"/>
    <n v="0"/>
    <n v="0"/>
    <n v="0"/>
    <n v="0"/>
    <n v="0"/>
    <n v="0"/>
    <n v="0"/>
  </r>
  <r>
    <x v="2"/>
    <s v="2029250-CNN Interactive Group-www.cnn.com/cnn-underscored/"/>
    <n v="2"/>
    <n v="0"/>
    <n v="0"/>
    <n v="0"/>
    <n v="0"/>
    <n v="0"/>
    <n v="0"/>
    <n v="0"/>
    <n v="0"/>
    <n v="0"/>
    <n v="2029250"/>
    <x v="41"/>
    <s v="www.cnn.com/cnn-underscored/"/>
    <n v="0"/>
    <n v="0"/>
    <n v="0"/>
    <n v="0"/>
    <n v="0"/>
    <n v="0"/>
    <n v="0"/>
    <n v="0"/>
    <n v="0"/>
    <n v="0"/>
    <n v="0"/>
    <n v="0"/>
    <n v="0"/>
  </r>
  <r>
    <x v="2"/>
    <s v="318676-Capital Intellect Inc.-www.befrugal.com"/>
    <n v="1"/>
    <n v="0"/>
    <n v="0"/>
    <n v="0"/>
    <n v="0"/>
    <n v="0"/>
    <n v="0"/>
    <n v="0"/>
    <n v="0"/>
    <n v="0"/>
    <n v="318676"/>
    <x v="31"/>
    <s v="www.befrugal.com"/>
    <n v="0"/>
    <n v="0"/>
    <n v="0"/>
    <n v="0"/>
    <n v="0"/>
    <n v="0"/>
    <n v="0"/>
    <n v="0"/>
    <n v="0"/>
    <n v="0"/>
    <n v="0"/>
    <n v="0"/>
    <n v="0"/>
  </r>
  <r>
    <x v="2"/>
    <s v="708786-ANDHI ERMAWAN-couponseeker.com salehunter.com"/>
    <n v="1"/>
    <n v="0"/>
    <n v="0"/>
    <n v="0"/>
    <n v="0"/>
    <n v="0"/>
    <n v="0"/>
    <n v="0"/>
    <n v="0"/>
    <n v="0"/>
    <n v="708786"/>
    <x v="32"/>
    <s v="couponseeker.com, salehunter.com"/>
    <n v="0"/>
    <n v="0"/>
    <n v="0"/>
    <n v="0"/>
    <n v="0"/>
    <n v="0"/>
    <n v="0"/>
    <n v="0"/>
    <n v="0"/>
    <n v="0"/>
    <n v="0"/>
    <n v="0"/>
    <n v="0"/>
  </r>
  <r>
    <x v="2"/>
    <s v="1372745-SavvyShop-savvyshopworld.com"/>
    <n v="1"/>
    <n v="0"/>
    <n v="0"/>
    <n v="0"/>
    <n v="0"/>
    <n v="0"/>
    <n v="0"/>
    <n v="0"/>
    <n v="0"/>
    <n v="0"/>
    <n v="1372745"/>
    <x v="4"/>
    <s v="savvyshopworld.com"/>
    <n v="0"/>
    <n v="0"/>
    <n v="0"/>
    <n v="0"/>
    <n v="0"/>
    <n v="0"/>
    <n v="0"/>
    <n v="0"/>
    <n v="0"/>
    <n v="0"/>
    <n v="0"/>
    <n v="0"/>
    <n v="0"/>
  </r>
  <r>
    <x v="2"/>
    <s v="1393373-CPAR Media Corp-www.coupongrind.com"/>
    <n v="1"/>
    <n v="0"/>
    <n v="0"/>
    <n v="0"/>
    <n v="0"/>
    <n v="0"/>
    <n v="0"/>
    <n v="0"/>
    <n v="0"/>
    <n v="0"/>
    <n v="1393373"/>
    <x v="35"/>
    <s v="www.coupongrind.com"/>
    <n v="0"/>
    <n v="0"/>
    <n v="0"/>
    <n v="0"/>
    <n v="0"/>
    <n v="0"/>
    <n v="0"/>
    <n v="0"/>
    <n v="0"/>
    <n v="0"/>
    <n v="0"/>
    <n v="0"/>
    <n v="0"/>
  </r>
  <r>
    <x v="2"/>
    <s v="1418817-MK INFOTECH LIMITED-www.anycodes.com"/>
    <n v="1"/>
    <n v="0"/>
    <n v="0"/>
    <n v="0"/>
    <n v="0"/>
    <n v="0"/>
    <n v="0"/>
    <n v="0"/>
    <n v="0"/>
    <n v="0"/>
    <n v="1418817"/>
    <x v="46"/>
    <s v="www.anycodes.com"/>
    <n v="0"/>
    <n v="0"/>
    <n v="0"/>
    <n v="0"/>
    <n v="0"/>
    <n v="0"/>
    <n v="0"/>
    <n v="0"/>
    <n v="0"/>
    <n v="0"/>
    <n v="0"/>
    <n v="0"/>
    <n v="0"/>
  </r>
  <r>
    <x v="2"/>
    <s v="1538097-Wildfire Systems Inc.-wildfire-corp.com"/>
    <n v="1"/>
    <n v="0"/>
    <n v="0"/>
    <n v="0"/>
    <n v="0"/>
    <n v="0"/>
    <n v="0"/>
    <n v="0"/>
    <n v="0"/>
    <n v="0"/>
    <n v="1538097"/>
    <x v="36"/>
    <s v="wildfire-corp.com"/>
    <n v="0"/>
    <n v="0"/>
    <n v="0"/>
    <n v="0"/>
    <n v="0"/>
    <n v="0"/>
    <n v="0"/>
    <n v="0"/>
    <n v="0"/>
    <n v="0"/>
    <n v="0"/>
    <n v="0"/>
    <n v="0"/>
  </r>
  <r>
    <x v="2"/>
    <s v="1578665-Mattress Advisor LLC-sleepopolis.com"/>
    <n v="1"/>
    <n v="0"/>
    <n v="0"/>
    <n v="0"/>
    <n v="0"/>
    <n v="0"/>
    <n v="0"/>
    <n v="0"/>
    <n v="0"/>
    <n v="0"/>
    <n v="1578665"/>
    <x v="27"/>
    <s v="sleepopolis.com"/>
    <n v="0"/>
    <n v="0"/>
    <n v="0"/>
    <n v="0"/>
    <n v="0"/>
    <n v="0"/>
    <n v="0"/>
    <n v="0"/>
    <n v="0"/>
    <n v="0"/>
    <n v="0"/>
    <n v="0"/>
    <n v="0"/>
  </r>
  <r>
    <x v="2"/>
    <s v="1663605-GSG North America LLC-coupons.businessinsider.com/"/>
    <n v="1"/>
    <n v="0"/>
    <n v="0"/>
    <n v="0"/>
    <n v="0"/>
    <n v="0"/>
    <n v="0"/>
    <n v="0"/>
    <n v="0"/>
    <n v="0"/>
    <n v="1663605"/>
    <x v="47"/>
    <s v="coupons.businessinsider.com/"/>
    <n v="0"/>
    <n v="0"/>
    <n v="0"/>
    <n v="0"/>
    <n v="0"/>
    <n v="0"/>
    <n v="0"/>
    <n v="0"/>
    <n v="0"/>
    <n v="0"/>
    <n v="0"/>
    <n v="0"/>
    <n v="0"/>
  </r>
  <r>
    <x v="2"/>
    <s v="1752450-Julien CRESTOU-couponscity.net"/>
    <n v="1"/>
    <n v="0"/>
    <n v="0"/>
    <n v="0"/>
    <n v="0"/>
    <n v="0"/>
    <n v="0"/>
    <n v="0"/>
    <n v="0"/>
    <n v="0"/>
    <n v="1752450"/>
    <x v="51"/>
    <s v="couponscity.net"/>
    <n v="0"/>
    <n v="0"/>
    <n v="0"/>
    <n v="0"/>
    <n v="0"/>
    <n v="0"/>
    <n v="0"/>
    <n v="0"/>
    <n v="0"/>
    <n v="0"/>
    <n v="0"/>
    <n v="0"/>
    <n v="0"/>
  </r>
  <r>
    <x v="2"/>
    <s v="1772040-Meredith Corporation-www.realsimple.com/"/>
    <n v="1"/>
    <n v="0"/>
    <n v="0"/>
    <n v="0"/>
    <n v="0"/>
    <n v="0"/>
    <n v="0"/>
    <n v="0"/>
    <n v="0"/>
    <n v="0"/>
    <n v="1772040"/>
    <x v="17"/>
    <s v="www.realsimple.com/"/>
    <n v="0"/>
    <n v="0"/>
    <n v="0"/>
    <n v="0"/>
    <n v="0"/>
    <n v="0"/>
    <n v="0"/>
    <n v="0"/>
    <n v="0"/>
    <n v="0"/>
    <n v="0"/>
    <n v="0"/>
    <n v="0"/>
  </r>
  <r>
    <x v="2"/>
    <s v="1778626-Syed Hammad Hussain-www.couponsvolcano.com"/>
    <n v="1"/>
    <n v="0"/>
    <n v="0"/>
    <n v="0"/>
    <n v="0"/>
    <n v="0"/>
    <n v="0"/>
    <n v="0"/>
    <n v="0"/>
    <n v="0"/>
    <n v="1778626"/>
    <x v="52"/>
    <s v="www.couponsvolcano.com"/>
    <n v="0"/>
    <n v="0"/>
    <n v="0"/>
    <n v="0"/>
    <n v="0"/>
    <n v="0"/>
    <n v="0"/>
    <n v="0"/>
    <n v="0"/>
    <n v="0"/>
    <n v="0"/>
    <n v="0"/>
    <n v="0"/>
  </r>
  <r>
    <x v="2"/>
    <s v="1868351-Liberty Labs Ltd-www.libertyvaults.com"/>
    <n v="1"/>
    <n v="0"/>
    <n v="0"/>
    <n v="0"/>
    <n v="0"/>
    <n v="0"/>
    <n v="0"/>
    <n v="0"/>
    <n v="0"/>
    <n v="0"/>
    <n v="1868351"/>
    <x v="53"/>
    <s v="www.libertyvaults.com"/>
    <n v="0"/>
    <n v="0"/>
    <n v="0"/>
    <n v="0"/>
    <n v="0"/>
    <n v="0"/>
    <n v="0"/>
    <n v="0"/>
    <n v="0"/>
    <n v="0"/>
    <n v="0"/>
    <n v="0"/>
    <n v="0"/>
  </r>
  <r>
    <x v="2"/>
    <s v="2075116-Arif Bilal-www.fivestarcoupon.com/"/>
    <n v="1"/>
    <n v="0"/>
    <n v="0"/>
    <n v="0"/>
    <n v="0"/>
    <n v="0"/>
    <n v="0"/>
    <n v="0"/>
    <n v="0"/>
    <n v="0"/>
    <n v="2075116"/>
    <x v="50"/>
    <s v="www.fivestarcoupon.com/"/>
    <n v="0"/>
    <n v="0"/>
    <n v="0"/>
    <n v="0"/>
    <n v="0"/>
    <n v="0"/>
    <n v="0"/>
    <n v="0"/>
    <n v="0"/>
    <n v="0"/>
    <n v="0"/>
    <n v="0"/>
    <n v="0"/>
  </r>
  <r>
    <x v="2"/>
    <s v="2182271-Promo Codes Guide LLC-www.promocodes.guide"/>
    <n v="1"/>
    <n v="0"/>
    <n v="0"/>
    <n v="0"/>
    <n v="0"/>
    <n v="0"/>
    <n v="0"/>
    <n v="0"/>
    <n v="0"/>
    <n v="0"/>
    <n v="2182271"/>
    <x v="2"/>
    <s v="www.promocodes.guide"/>
    <n v="0"/>
    <n v="0"/>
    <n v="0"/>
    <n v="0"/>
    <n v="0"/>
    <n v="0"/>
    <n v="0"/>
    <n v="0"/>
    <n v="0"/>
    <n v="0"/>
    <n v="0"/>
    <n v="0"/>
    <n v="0"/>
  </r>
  <r>
    <x v="2"/>
    <s v="2243506-Pannon Digital Ltd-www.weightedblanketguides.com/"/>
    <n v="1"/>
    <n v="0"/>
    <n v="0"/>
    <n v="0"/>
    <n v="0"/>
    <n v="0"/>
    <n v="0"/>
    <n v="0"/>
    <n v="0"/>
    <n v="0"/>
    <n v="2243506"/>
    <x v="20"/>
    <s v="www.weightedblanketguides.com/"/>
    <n v="0"/>
    <n v="0"/>
    <n v="0"/>
    <n v="0"/>
    <n v="0"/>
    <n v="0"/>
    <n v="0"/>
    <n v="0"/>
    <n v="0"/>
    <n v="0"/>
    <n v="0"/>
    <n v="0"/>
    <n v="0"/>
  </r>
  <r>
    <x v="2"/>
    <s v="2292146-Olymp Technologies Inc-honestbrandreviews.com"/>
    <n v="1"/>
    <n v="0"/>
    <n v="0"/>
    <n v="0"/>
    <n v="0"/>
    <n v="0"/>
    <n v="0"/>
    <n v="0"/>
    <n v="0"/>
    <n v="0"/>
    <n v="2292146"/>
    <x v="54"/>
    <s v="honestbrandreviews.com"/>
    <n v="0"/>
    <n v="0"/>
    <n v="0"/>
    <n v="0"/>
    <n v="0"/>
    <n v="0"/>
    <n v="0"/>
    <n v="0"/>
    <n v="0"/>
    <n v="0"/>
    <n v="0"/>
    <n v="0"/>
    <n v="0"/>
  </r>
  <r>
    <x v="3"/>
    <s v="314743-Skimbit Ltd-skimlinks.com"/>
    <n v="101"/>
    <n v="958.5"/>
    <n v="0"/>
    <n v="958.5"/>
    <n v="5"/>
    <n v="0"/>
    <n v="143.78"/>
    <n v="4.95"/>
    <n v="142.36000000000001"/>
    <n v="191.7"/>
    <n v="314743"/>
    <x v="9"/>
    <s v="skimlinks.com"/>
    <n v="5"/>
    <n v="0"/>
    <n v="0"/>
    <n v="0"/>
    <n v="0"/>
    <n v="0"/>
    <n v="143.78"/>
    <n v="0"/>
    <n v="0"/>
    <n v="0"/>
    <n v="0"/>
    <n v="0"/>
    <n v="28.76"/>
  </r>
  <r>
    <x v="3"/>
    <s v="136482-Vertive LLC (Offers.com LLC.)-offers.com"/>
    <n v="6"/>
    <n v="238"/>
    <n v="0"/>
    <n v="238"/>
    <n v="2"/>
    <n v="0"/>
    <n v="7.14"/>
    <n v="33.33"/>
    <n v="119"/>
    <n v="119"/>
    <n v="136482"/>
    <x v="8"/>
    <s v="offers.com"/>
    <n v="2"/>
    <n v="0"/>
    <n v="0"/>
    <n v="0"/>
    <n v="0"/>
    <n v="0"/>
    <n v="7.14"/>
    <n v="0"/>
    <n v="0"/>
    <n v="0"/>
    <n v="0"/>
    <n v="0"/>
    <n v="1.43"/>
  </r>
  <r>
    <x v="3"/>
    <s v="1140999-Chichihaha Limited-www.couponbirds.com"/>
    <n v="2"/>
    <n v="159.19999999999999"/>
    <n v="0"/>
    <n v="159.19999999999999"/>
    <n v="1"/>
    <n v="0"/>
    <n v="4.78"/>
    <n v="50"/>
    <n v="239"/>
    <n v="159.19999999999999"/>
    <n v="1140999"/>
    <x v="40"/>
    <s v="www.couponbirds.com"/>
    <n v="1"/>
    <n v="0"/>
    <n v="0"/>
    <n v="0"/>
    <n v="0"/>
    <n v="0"/>
    <n v="4.78"/>
    <n v="0"/>
    <n v="0"/>
    <n v="0"/>
    <n v="0"/>
    <n v="0"/>
    <n v="0.96"/>
  </r>
  <r>
    <x v="3"/>
    <s v="445875-Demand.io-knoji.com"/>
    <n v="14"/>
    <n v="139.30000000000001"/>
    <n v="0"/>
    <n v="139.30000000000001"/>
    <n v="1"/>
    <n v="0"/>
    <n v="4.18"/>
    <n v="7.14"/>
    <n v="29.86"/>
    <n v="139.30000000000001"/>
    <n v="445875"/>
    <x v="6"/>
    <s v="knoji.com"/>
    <n v="1"/>
    <n v="0"/>
    <n v="0"/>
    <n v="0"/>
    <n v="0"/>
    <n v="0"/>
    <n v="4.18"/>
    <n v="0"/>
    <n v="0"/>
    <n v="0"/>
    <n v="0"/>
    <n v="0"/>
    <n v="0.84"/>
  </r>
  <r>
    <x v="3"/>
    <s v="725033-ID.me Inc.-shop.id.me"/>
    <n v="57"/>
    <n v="0"/>
    <n v="0"/>
    <n v="0"/>
    <n v="0"/>
    <n v="0"/>
    <n v="0"/>
    <n v="0"/>
    <n v="0"/>
    <n v="0"/>
    <n v="725033"/>
    <x v="1"/>
    <s v="shop.id.me"/>
    <n v="0"/>
    <n v="0"/>
    <n v="0"/>
    <n v="0"/>
    <n v="0"/>
    <n v="0"/>
    <n v="0"/>
    <n v="0"/>
    <n v="0"/>
    <n v="0"/>
    <n v="0"/>
    <n v="0"/>
    <n v="0"/>
  </r>
  <r>
    <x v="3"/>
    <s v="1088116-Business Insider Inc.-www.businessinsider.com"/>
    <n v="45"/>
    <n v="0"/>
    <n v="0"/>
    <n v="0"/>
    <n v="0"/>
    <n v="0"/>
    <n v="0"/>
    <n v="0"/>
    <n v="0"/>
    <n v="0"/>
    <n v="1088116"/>
    <x v="0"/>
    <s v="www.businessinsider.com"/>
    <n v="0"/>
    <n v="0"/>
    <n v="0"/>
    <n v="0"/>
    <n v="0"/>
    <n v="0"/>
    <n v="0"/>
    <n v="0"/>
    <n v="0"/>
    <n v="0"/>
    <n v="0"/>
    <n v="0"/>
    <n v="0"/>
  </r>
  <r>
    <x v="3"/>
    <s v="1584217-Trends Green-topnaturalmattresses.com"/>
    <n v="39"/>
    <n v="0"/>
    <n v="0"/>
    <n v="0"/>
    <n v="0"/>
    <n v="0"/>
    <n v="0"/>
    <n v="0"/>
    <n v="0"/>
    <n v="0"/>
    <n v="1584217"/>
    <x v="10"/>
    <s v="topnaturalmattresses.com"/>
    <n v="0"/>
    <n v="0"/>
    <n v="0"/>
    <n v="0"/>
    <n v="0"/>
    <n v="0"/>
    <n v="0"/>
    <n v="0"/>
    <n v="0"/>
    <n v="0"/>
    <n v="0"/>
    <n v="0"/>
    <n v="0"/>
  </r>
  <r>
    <x v="3"/>
    <s v="389818-VigLink Inc.-www.viglink.com"/>
    <n v="28"/>
    <n v="0"/>
    <n v="0"/>
    <n v="0"/>
    <n v="0"/>
    <n v="0"/>
    <n v="0"/>
    <n v="0"/>
    <n v="0"/>
    <n v="0"/>
    <n v="389818"/>
    <x v="15"/>
    <s v="www.viglink.com"/>
    <n v="0"/>
    <n v="0"/>
    <n v="0"/>
    <n v="0"/>
    <n v="0"/>
    <n v="0"/>
    <n v="0"/>
    <n v="0"/>
    <n v="0"/>
    <n v="0"/>
    <n v="0"/>
    <n v="0"/>
    <n v="0"/>
  </r>
  <r>
    <x v="3"/>
    <s v="1773960-Tuck.com LLC-tuck.com"/>
    <n v="24"/>
    <n v="0"/>
    <n v="0"/>
    <n v="0"/>
    <n v="0"/>
    <n v="0"/>
    <n v="0"/>
    <n v="0"/>
    <n v="0"/>
    <n v="0"/>
    <n v="1773960"/>
    <x v="11"/>
    <s v="tuck.com"/>
    <n v="0"/>
    <n v="0"/>
    <n v="0"/>
    <n v="0"/>
    <n v="0"/>
    <n v="0"/>
    <n v="0"/>
    <n v="0"/>
    <n v="0"/>
    <n v="0"/>
    <n v="0"/>
    <n v="0"/>
    <n v="0"/>
  </r>
  <r>
    <x v="3"/>
    <s v="201285-12 Interactive LLC-www.perkspot.com"/>
    <n v="20"/>
    <n v="0"/>
    <n v="0"/>
    <n v="0"/>
    <n v="0"/>
    <n v="0"/>
    <n v="0"/>
    <n v="0"/>
    <n v="0"/>
    <n v="0"/>
    <n v="201285"/>
    <x v="5"/>
    <s v="www.perkspot.com"/>
    <n v="0"/>
    <n v="0"/>
    <n v="0"/>
    <n v="0"/>
    <n v="0"/>
    <n v="0"/>
    <n v="0"/>
    <n v="0"/>
    <n v="0"/>
    <n v="0"/>
    <n v="0"/>
    <n v="0"/>
    <n v="0"/>
  </r>
  <r>
    <x v="3"/>
    <s v="1014069-Mutzel Nutrition LLC-highintensityhealth.com/"/>
    <n v="13"/>
    <n v="0"/>
    <n v="0"/>
    <n v="0"/>
    <n v="0"/>
    <n v="0"/>
    <n v="0"/>
    <n v="0"/>
    <n v="0"/>
    <n v="0"/>
    <n v="1014069"/>
    <x v="14"/>
    <s v="highintensityhealth.com/"/>
    <n v="0"/>
    <n v="0"/>
    <n v="0"/>
    <n v="0"/>
    <n v="0"/>
    <n v="0"/>
    <n v="0"/>
    <n v="0"/>
    <n v="0"/>
    <n v="0"/>
    <n v="0"/>
    <n v="0"/>
    <n v="0"/>
  </r>
  <r>
    <x v="3"/>
    <s v="140995-Savings.com Inc-www.savings.com"/>
    <n v="11"/>
    <n v="0"/>
    <n v="0"/>
    <n v="0"/>
    <n v="0"/>
    <n v="0"/>
    <n v="0"/>
    <n v="0"/>
    <n v="0"/>
    <n v="0"/>
    <n v="140995"/>
    <x v="7"/>
    <s v="www.savings.com"/>
    <n v="0"/>
    <n v="0"/>
    <n v="0"/>
    <n v="0"/>
    <n v="0"/>
    <n v="0"/>
    <n v="0"/>
    <n v="0"/>
    <n v="0"/>
    <n v="0"/>
    <n v="0"/>
    <n v="0"/>
    <n v="0"/>
  </r>
  <r>
    <x v="3"/>
    <s v="2284878-Tuck.com LLC-www.sleepfoundation.org/"/>
    <n v="11"/>
    <n v="0"/>
    <n v="0"/>
    <n v="0"/>
    <n v="0"/>
    <n v="0"/>
    <n v="0"/>
    <n v="0"/>
    <n v="0"/>
    <n v="0"/>
    <n v="2284878"/>
    <x v="11"/>
    <s v="www.sleepfoundation.org/"/>
    <n v="0"/>
    <n v="0"/>
    <n v="0"/>
    <n v="0"/>
    <n v="0"/>
    <n v="0"/>
    <n v="0"/>
    <n v="0"/>
    <n v="0"/>
    <n v="0"/>
    <n v="0"/>
    <n v="0"/>
    <n v="0"/>
  </r>
  <r>
    <x v="3"/>
    <s v="2053730-WW Affiliate-www.yourbestmattress247.com"/>
    <n v="9"/>
    <n v="0"/>
    <n v="0"/>
    <n v="0"/>
    <n v="0"/>
    <n v="0"/>
    <n v="0"/>
    <n v="0"/>
    <n v="0"/>
    <n v="0"/>
    <n v="2053730"/>
    <x v="12"/>
    <s v="www.yourbestmattress247.com"/>
    <n v="0"/>
    <n v="0"/>
    <n v="0"/>
    <n v="0"/>
    <n v="0"/>
    <n v="0"/>
    <n v="0"/>
    <n v="0"/>
    <n v="0"/>
    <n v="0"/>
    <n v="0"/>
    <n v="0"/>
    <n v="0"/>
  </r>
  <r>
    <x v="3"/>
    <s v="748814-Reviewed.com-www.reviewed.com"/>
    <n v="8"/>
    <n v="0"/>
    <n v="0"/>
    <n v="0"/>
    <n v="0"/>
    <n v="0"/>
    <n v="0"/>
    <n v="0"/>
    <n v="0"/>
    <n v="0"/>
    <n v="748814"/>
    <x v="13"/>
    <s v="www.reviewed.com"/>
    <n v="0"/>
    <n v="0"/>
    <n v="0"/>
    <n v="0"/>
    <n v="0"/>
    <n v="0"/>
    <n v="0"/>
    <n v="0"/>
    <n v="0"/>
    <n v="0"/>
    <n v="0"/>
    <n v="0"/>
    <n v="0"/>
  </r>
  <r>
    <x v="3"/>
    <s v="1772040-Meredith Corporation-www.realsimple.com/"/>
    <n v="6"/>
    <n v="0"/>
    <n v="0"/>
    <n v="0"/>
    <n v="0"/>
    <n v="0"/>
    <n v="0"/>
    <n v="0"/>
    <n v="0"/>
    <n v="0"/>
    <n v="1772040"/>
    <x v="17"/>
    <s v="www.realsimple.com/"/>
    <n v="0"/>
    <n v="0"/>
    <n v="0"/>
    <n v="0"/>
    <n v="0"/>
    <n v="0"/>
    <n v="0"/>
    <n v="0"/>
    <n v="0"/>
    <n v="0"/>
    <n v="0"/>
    <n v="0"/>
    <n v="0"/>
  </r>
  <r>
    <x v="3"/>
    <s v="514792-CBS Interactive Inc.-www.cnet.com"/>
    <n v="4"/>
    <n v="0"/>
    <n v="0"/>
    <n v="0"/>
    <n v="0"/>
    <n v="0"/>
    <n v="0"/>
    <n v="0"/>
    <n v="0"/>
    <n v="0"/>
    <n v="514792"/>
    <x v="19"/>
    <s v="www.cnet.com"/>
    <n v="0"/>
    <n v="0"/>
    <n v="0"/>
    <n v="0"/>
    <n v="0"/>
    <n v="0"/>
    <n v="0"/>
    <n v="0"/>
    <n v="0"/>
    <n v="0"/>
    <n v="0"/>
    <n v="0"/>
    <n v="0"/>
  </r>
  <r>
    <x v="3"/>
    <s v="1238556-YIELDKIT GmbH-yieldkit.com"/>
    <n v="4"/>
    <n v="0"/>
    <n v="0"/>
    <n v="0"/>
    <n v="0"/>
    <n v="0"/>
    <n v="0"/>
    <n v="0"/>
    <n v="0"/>
    <n v="0"/>
    <n v="1238556"/>
    <x v="3"/>
    <s v="yieldkit.com"/>
    <n v="0"/>
    <n v="0"/>
    <n v="0"/>
    <n v="0"/>
    <n v="0"/>
    <n v="0"/>
    <n v="0"/>
    <n v="0"/>
    <n v="0"/>
    <n v="0"/>
    <n v="0"/>
    <n v="0"/>
    <n v="0"/>
  </r>
  <r>
    <x v="3"/>
    <s v="1413766-LinkGains (HK) Limited-www.hotdeals.com"/>
    <n v="4"/>
    <n v="0"/>
    <n v="0"/>
    <n v="0"/>
    <n v="0"/>
    <n v="0"/>
    <n v="0"/>
    <n v="0"/>
    <n v="0"/>
    <n v="0"/>
    <n v="1413766"/>
    <x v="16"/>
    <s v="www.hotdeals.com"/>
    <n v="0"/>
    <n v="0"/>
    <n v="0"/>
    <n v="0"/>
    <n v="0"/>
    <n v="0"/>
    <n v="0"/>
    <n v="0"/>
    <n v="0"/>
    <n v="0"/>
    <n v="0"/>
    <n v="0"/>
    <n v="0"/>
  </r>
  <r>
    <x v="3"/>
    <s v="2243506-Pannon Digital Ltd-www.weightedblanketguides.com/"/>
    <n v="4"/>
    <n v="0"/>
    <n v="0"/>
    <n v="0"/>
    <n v="0"/>
    <n v="0"/>
    <n v="0"/>
    <n v="0"/>
    <n v="0"/>
    <n v="0"/>
    <n v="2243506"/>
    <x v="20"/>
    <s v="www.weightedblanketguides.com/"/>
    <n v="0"/>
    <n v="0"/>
    <n v="0"/>
    <n v="0"/>
    <n v="0"/>
    <n v="0"/>
    <n v="0"/>
    <n v="0"/>
    <n v="0"/>
    <n v="0"/>
    <n v="0"/>
    <n v="0"/>
    <n v="0"/>
  </r>
  <r>
    <x v="3"/>
    <s v="745788-digidip GmbH-digidip.net"/>
    <n v="3"/>
    <n v="0"/>
    <n v="0"/>
    <n v="0"/>
    <n v="0"/>
    <n v="0"/>
    <n v="0"/>
    <n v="0"/>
    <n v="0"/>
    <n v="0"/>
    <n v="745788"/>
    <x v="18"/>
    <s v="digidip.net"/>
    <n v="0"/>
    <n v="0"/>
    <n v="0"/>
    <n v="0"/>
    <n v="0"/>
    <n v="0"/>
    <n v="0"/>
    <n v="0"/>
    <n v="0"/>
    <n v="0"/>
    <n v="0"/>
    <n v="0"/>
    <n v="0"/>
  </r>
  <r>
    <x v="3"/>
    <s v="1242889-RIZKNOWS LLC-www.rizknows.com"/>
    <n v="3"/>
    <n v="0"/>
    <n v="0"/>
    <n v="0"/>
    <n v="0"/>
    <n v="0"/>
    <n v="0"/>
    <n v="0"/>
    <n v="0"/>
    <n v="0"/>
    <n v="1242889"/>
    <x v="25"/>
    <s v="www.rizknows.com"/>
    <n v="0"/>
    <n v="0"/>
    <n v="0"/>
    <n v="0"/>
    <n v="0"/>
    <n v="0"/>
    <n v="0"/>
    <n v="0"/>
    <n v="0"/>
    <n v="0"/>
    <n v="0"/>
    <n v="0"/>
    <n v="0"/>
  </r>
  <r>
    <x v="3"/>
    <s v="1519404-Mariano Cordoba-marianocordoba.me"/>
    <n v="3"/>
    <n v="0"/>
    <n v="0"/>
    <n v="0"/>
    <n v="0"/>
    <n v="0"/>
    <n v="0"/>
    <n v="0"/>
    <n v="0"/>
    <n v="0"/>
    <n v="1519404"/>
    <x v="26"/>
    <s v="marianocordoba.me"/>
    <n v="0"/>
    <n v="0"/>
    <n v="0"/>
    <n v="0"/>
    <n v="0"/>
    <n v="0"/>
    <n v="0"/>
    <n v="0"/>
    <n v="0"/>
    <n v="0"/>
    <n v="0"/>
    <n v="0"/>
    <n v="0"/>
  </r>
  <r>
    <x v="3"/>
    <s v="2182271-Promo Codes Guide LLC-www.promocodes.guide"/>
    <n v="3"/>
    <n v="0"/>
    <n v="0"/>
    <n v="0"/>
    <n v="0"/>
    <n v="0"/>
    <n v="0"/>
    <n v="0"/>
    <n v="0"/>
    <n v="0"/>
    <n v="2182271"/>
    <x v="2"/>
    <s v="www.promocodes.guide"/>
    <n v="0"/>
    <n v="0"/>
    <n v="0"/>
    <n v="0"/>
    <n v="0"/>
    <n v="0"/>
    <n v="0"/>
    <n v="0"/>
    <n v="0"/>
    <n v="0"/>
    <n v="0"/>
    <n v="0"/>
    <n v="0"/>
  </r>
  <r>
    <x v="3"/>
    <s v="193744-shareasaleaffnl@rmn.com-www.retailmenot.com"/>
    <n v="2"/>
    <n v="0"/>
    <n v="0"/>
    <n v="0"/>
    <n v="0"/>
    <n v="0"/>
    <n v="0"/>
    <n v="0"/>
    <n v="0"/>
    <n v="0"/>
    <n v="193744"/>
    <x v="30"/>
    <s v="www.retailmenot.com"/>
    <n v="0"/>
    <n v="0"/>
    <n v="0"/>
    <n v="0"/>
    <n v="0"/>
    <n v="0"/>
    <n v="0"/>
    <n v="0"/>
    <n v="0"/>
    <n v="0"/>
    <n v="0"/>
    <n v="0"/>
    <n v="0"/>
  </r>
  <r>
    <x v="3"/>
    <s v="1225169-Vox Media LLC-www.voxmedia.com/a/vm"/>
    <n v="2"/>
    <n v="0"/>
    <n v="0"/>
    <n v="0"/>
    <n v="0"/>
    <n v="0"/>
    <n v="0"/>
    <n v="0"/>
    <n v="0"/>
    <n v="0"/>
    <n v="1225169"/>
    <x v="24"/>
    <s v="www.voxmedia.com/a/vm"/>
    <n v="0"/>
    <n v="0"/>
    <n v="0"/>
    <n v="0"/>
    <n v="0"/>
    <n v="0"/>
    <n v="0"/>
    <n v="0"/>
    <n v="0"/>
    <n v="0"/>
    <n v="0"/>
    <n v="0"/>
    <n v="0"/>
  </r>
  <r>
    <x v="3"/>
    <s v="1663605-GSG North America LLC-coupons.businessinsider.com/"/>
    <n v="2"/>
    <n v="0"/>
    <n v="0"/>
    <n v="0"/>
    <n v="0"/>
    <n v="0"/>
    <n v="0"/>
    <n v="0"/>
    <n v="0"/>
    <n v="0"/>
    <n v="1663605"/>
    <x v="47"/>
    <s v="coupons.businessinsider.com/"/>
    <n v="0"/>
    <n v="0"/>
    <n v="0"/>
    <n v="0"/>
    <n v="0"/>
    <n v="0"/>
    <n v="0"/>
    <n v="0"/>
    <n v="0"/>
    <n v="0"/>
    <n v="0"/>
    <n v="0"/>
    <n v="0"/>
  </r>
  <r>
    <x v="3"/>
    <s v="154911-CouponCabin LLC-www.couponcabin.com"/>
    <n v="1"/>
    <n v="0"/>
    <n v="0"/>
    <n v="0"/>
    <n v="0"/>
    <n v="0"/>
    <n v="0"/>
    <n v="0"/>
    <n v="0"/>
    <n v="0"/>
    <n v="154911"/>
    <x v="21"/>
    <s v="www.couponcabin.com"/>
    <n v="0"/>
    <n v="0"/>
    <n v="0"/>
    <n v="0"/>
    <n v="0"/>
    <n v="0"/>
    <n v="0"/>
    <n v="0"/>
    <n v="0"/>
    <n v="0"/>
    <n v="0"/>
    <n v="0"/>
    <n v="0"/>
  </r>
  <r>
    <x v="3"/>
    <s v="213636-SurfMyAds.com-www.promocodes.com"/>
    <n v="1"/>
    <n v="0"/>
    <n v="0"/>
    <n v="0"/>
    <n v="0"/>
    <n v="0"/>
    <n v="0"/>
    <n v="0"/>
    <n v="0"/>
    <n v="0"/>
    <n v="213636"/>
    <x v="22"/>
    <s v="www.promocodes.com"/>
    <n v="0"/>
    <n v="0"/>
    <n v="0"/>
    <n v="0"/>
    <n v="0"/>
    <n v="0"/>
    <n v="0"/>
    <n v="0"/>
    <n v="0"/>
    <n v="0"/>
    <n v="0"/>
    <n v="0"/>
    <n v="0"/>
  </r>
  <r>
    <x v="3"/>
    <s v="318676-Capital Intellect Inc.-www.befrugal.com"/>
    <n v="1"/>
    <n v="0"/>
    <n v="0"/>
    <n v="0"/>
    <n v="0"/>
    <n v="0"/>
    <n v="0"/>
    <n v="0"/>
    <n v="0"/>
    <n v="0"/>
    <n v="318676"/>
    <x v="31"/>
    <s v="www.befrugal.com"/>
    <n v="0"/>
    <n v="0"/>
    <n v="0"/>
    <n v="0"/>
    <n v="0"/>
    <n v="0"/>
    <n v="0"/>
    <n v="0"/>
    <n v="0"/>
    <n v="0"/>
    <n v="0"/>
    <n v="0"/>
    <n v="0"/>
  </r>
  <r>
    <x v="3"/>
    <s v="1372745-SavvyShop-savvyshopworld.com"/>
    <n v="1"/>
    <n v="0"/>
    <n v="0"/>
    <n v="0"/>
    <n v="0"/>
    <n v="0"/>
    <n v="0"/>
    <n v="0"/>
    <n v="0"/>
    <n v="0"/>
    <n v="1372745"/>
    <x v="4"/>
    <s v="savvyshopworld.com"/>
    <n v="0"/>
    <n v="0"/>
    <n v="0"/>
    <n v="0"/>
    <n v="0"/>
    <n v="0"/>
    <n v="0"/>
    <n v="0"/>
    <n v="0"/>
    <n v="0"/>
    <n v="0"/>
    <n v="0"/>
    <n v="0"/>
  </r>
  <r>
    <x v="3"/>
    <s v="1538097-Wildfire Systems Inc.-wildfire-corp.com"/>
    <n v="1"/>
    <n v="0"/>
    <n v="0"/>
    <n v="0"/>
    <n v="0"/>
    <n v="0"/>
    <n v="0"/>
    <n v="0"/>
    <n v="0"/>
    <n v="0"/>
    <n v="1538097"/>
    <x v="36"/>
    <s v="wildfire-corp.com"/>
    <n v="0"/>
    <n v="0"/>
    <n v="0"/>
    <n v="0"/>
    <n v="0"/>
    <n v="0"/>
    <n v="0"/>
    <n v="0"/>
    <n v="0"/>
    <n v="0"/>
    <n v="0"/>
    <n v="0"/>
    <n v="0"/>
  </r>
  <r>
    <x v="3"/>
    <s v="1562307-Reviews International-us-reviews.com"/>
    <n v="1"/>
    <n v="0"/>
    <n v="0"/>
    <n v="0"/>
    <n v="0"/>
    <n v="0"/>
    <n v="0"/>
    <n v="0"/>
    <n v="0"/>
    <n v="0"/>
    <n v="1562307"/>
    <x v="55"/>
    <s v="us-reviews.com"/>
    <n v="0"/>
    <n v="0"/>
    <n v="0"/>
    <n v="0"/>
    <n v="0"/>
    <n v="0"/>
    <n v="0"/>
    <n v="0"/>
    <n v="0"/>
    <n v="0"/>
    <n v="0"/>
    <n v="0"/>
    <n v="0"/>
  </r>
  <r>
    <x v="3"/>
    <s v="1657151-Weng-Kian D Oh-discountsgoblin.com"/>
    <n v="1"/>
    <n v="0"/>
    <n v="0"/>
    <n v="0"/>
    <n v="0"/>
    <n v="0"/>
    <n v="0"/>
    <n v="0"/>
    <n v="0"/>
    <n v="0"/>
    <n v="1657151"/>
    <x v="56"/>
    <s v="discountsgoblin.com"/>
    <n v="0"/>
    <n v="0"/>
    <n v="0"/>
    <n v="0"/>
    <n v="0"/>
    <n v="0"/>
    <n v="0"/>
    <n v="0"/>
    <n v="0"/>
    <n v="0"/>
    <n v="0"/>
    <n v="0"/>
    <n v="0"/>
  </r>
  <r>
    <x v="3"/>
    <s v="1869309-Mattress Media LLC.-mattressnerd.com"/>
    <n v="1"/>
    <n v="0"/>
    <n v="0"/>
    <n v="0"/>
    <n v="0"/>
    <n v="0"/>
    <n v="0"/>
    <n v="0"/>
    <n v="0"/>
    <n v="0"/>
    <n v="1869309"/>
    <x v="57"/>
    <s v="mattressnerd.com"/>
    <n v="0"/>
    <n v="0"/>
    <n v="0"/>
    <n v="0"/>
    <n v="0"/>
    <n v="0"/>
    <n v="0"/>
    <n v="0"/>
    <n v="0"/>
    <n v="0"/>
    <n v="0"/>
    <n v="0"/>
    <n v="0"/>
  </r>
  <r>
    <x v="3"/>
    <s v="2029250-CNN Interactive Group-www.cnn.com/cnn-underscored/"/>
    <n v="1"/>
    <n v="0"/>
    <n v="0"/>
    <n v="0"/>
    <n v="0"/>
    <n v="0"/>
    <n v="0"/>
    <n v="0"/>
    <n v="0"/>
    <n v="0"/>
    <n v="2029250"/>
    <x v="41"/>
    <s v="www.cnn.com/cnn-underscored/"/>
    <n v="0"/>
    <n v="0"/>
    <n v="0"/>
    <n v="0"/>
    <n v="0"/>
    <n v="0"/>
    <n v="0"/>
    <n v="0"/>
    <n v="0"/>
    <n v="0"/>
    <n v="0"/>
    <n v="0"/>
    <n v="0"/>
  </r>
  <r>
    <x v="3"/>
    <s v="2075116-Arif Bilal-www.fivestarcoupon.com/"/>
    <n v="1"/>
    <n v="0"/>
    <n v="0"/>
    <n v="0"/>
    <n v="0"/>
    <n v="0"/>
    <n v="0"/>
    <n v="0"/>
    <n v="0"/>
    <n v="0"/>
    <n v="2075116"/>
    <x v="50"/>
    <s v="www.fivestarcoupon.com/"/>
    <n v="0"/>
    <n v="0"/>
    <n v="0"/>
    <n v="0"/>
    <n v="0"/>
    <n v="0"/>
    <n v="0"/>
    <n v="0"/>
    <n v="0"/>
    <n v="0"/>
    <n v="0"/>
    <n v="0"/>
    <n v="0"/>
  </r>
  <r>
    <x v="3"/>
    <s v="2316883-HigherDOSE LLC-higherdose.com/"/>
    <n v="1"/>
    <n v="0"/>
    <n v="0"/>
    <n v="0"/>
    <n v="0"/>
    <n v="0"/>
    <n v="0"/>
    <n v="0"/>
    <n v="0"/>
    <n v="0"/>
    <n v="2316883"/>
    <x v="58"/>
    <s v="higherdose.com/"/>
    <n v="0"/>
    <n v="0"/>
    <n v="0"/>
    <n v="0"/>
    <n v="0"/>
    <n v="0"/>
    <n v="0"/>
    <n v="0"/>
    <n v="0"/>
    <n v="0"/>
    <n v="0"/>
    <n v="0"/>
    <n v="0"/>
  </r>
  <r>
    <x v="4"/>
    <s v="314743-Skimbit Ltd-skimlinks.com"/>
    <n v="96"/>
    <n v="533"/>
    <n v="0"/>
    <n v="533"/>
    <n v="3"/>
    <n v="0"/>
    <n v="79.95"/>
    <n v="3.13"/>
    <n v="83.28"/>
    <n v="177.67"/>
    <n v="314743"/>
    <x v="9"/>
    <s v="skimlinks.com"/>
    <n v="3"/>
    <n v="0"/>
    <n v="0"/>
    <n v="0"/>
    <n v="0"/>
    <n v="0"/>
    <n v="79.95"/>
    <n v="0"/>
    <n v="0"/>
    <n v="0"/>
    <n v="0"/>
    <n v="0"/>
    <n v="15.99"/>
  </r>
  <r>
    <x v="4"/>
    <s v="213636-SurfMyAds.com-www.promocodes.com"/>
    <n v="3"/>
    <n v="199.2"/>
    <n v="0"/>
    <n v="199.2"/>
    <n v="1"/>
    <n v="0"/>
    <n v="5.98"/>
    <n v="33.33"/>
    <n v="199.33"/>
    <n v="199.2"/>
    <n v="213636"/>
    <x v="22"/>
    <s v="www.promocodes.com"/>
    <n v="1"/>
    <n v="0"/>
    <n v="0"/>
    <n v="0"/>
    <n v="0"/>
    <n v="0"/>
    <n v="5.98"/>
    <n v="0"/>
    <n v="0"/>
    <n v="0"/>
    <n v="0"/>
    <n v="0"/>
    <n v="1.2"/>
  </r>
  <r>
    <x v="4"/>
    <s v="725033-ID.me Inc.-shop.id.me"/>
    <n v="55"/>
    <n v="159.19999999999999"/>
    <n v="0"/>
    <n v="159.19999999999999"/>
    <n v="1"/>
    <n v="0"/>
    <n v="4.78"/>
    <n v="1.82"/>
    <n v="8.69"/>
    <n v="159.19999999999999"/>
    <n v="725033"/>
    <x v="1"/>
    <s v="shop.id.me"/>
    <n v="1"/>
    <n v="0"/>
    <n v="0"/>
    <n v="0"/>
    <n v="0"/>
    <n v="0"/>
    <n v="4.78"/>
    <n v="0"/>
    <n v="0"/>
    <n v="0"/>
    <n v="0"/>
    <n v="0"/>
    <n v="0.96"/>
  </r>
  <r>
    <x v="4"/>
    <s v="445875-Demand.io-knoji.com"/>
    <n v="12"/>
    <n v="132.30000000000001"/>
    <n v="0"/>
    <n v="132.30000000000001"/>
    <n v="1"/>
    <n v="0"/>
    <n v="3.97"/>
    <n v="8.33"/>
    <n v="33.08"/>
    <n v="132.30000000000001"/>
    <n v="445875"/>
    <x v="6"/>
    <s v="knoji.com"/>
    <n v="1"/>
    <n v="0"/>
    <n v="0"/>
    <n v="0"/>
    <n v="0"/>
    <n v="0"/>
    <n v="3.97"/>
    <n v="0"/>
    <n v="0"/>
    <n v="0"/>
    <n v="0"/>
    <n v="0"/>
    <n v="0.79"/>
  </r>
  <r>
    <x v="4"/>
    <s v="389818-VigLink Inc.-www.viglink.com"/>
    <n v="47"/>
    <n v="0"/>
    <n v="0"/>
    <n v="0"/>
    <n v="0"/>
    <n v="0"/>
    <n v="0"/>
    <n v="0"/>
    <n v="0"/>
    <n v="0"/>
    <n v="389818"/>
    <x v="15"/>
    <s v="www.viglink.com"/>
    <n v="0"/>
    <n v="0"/>
    <n v="0"/>
    <n v="0"/>
    <n v="0"/>
    <n v="0"/>
    <n v="0"/>
    <n v="0"/>
    <n v="0"/>
    <n v="0"/>
    <n v="0"/>
    <n v="0"/>
    <n v="0"/>
  </r>
  <r>
    <x v="4"/>
    <s v="1088116-Business Insider Inc.-www.businessinsider.com"/>
    <n v="45"/>
    <n v="0"/>
    <n v="0"/>
    <n v="0"/>
    <n v="0"/>
    <n v="0"/>
    <n v="0"/>
    <n v="0"/>
    <n v="0"/>
    <n v="0"/>
    <n v="1088116"/>
    <x v="0"/>
    <s v="www.businessinsider.com"/>
    <n v="0"/>
    <n v="0"/>
    <n v="0"/>
    <n v="0"/>
    <n v="0"/>
    <n v="0"/>
    <n v="0"/>
    <n v="0"/>
    <n v="0"/>
    <n v="0"/>
    <n v="0"/>
    <n v="0"/>
    <n v="0"/>
  </r>
  <r>
    <x v="4"/>
    <s v="1584217-Trends Green-topnaturalmattresses.com"/>
    <n v="29"/>
    <n v="0"/>
    <n v="0"/>
    <n v="0"/>
    <n v="0"/>
    <n v="0"/>
    <n v="0"/>
    <n v="0"/>
    <n v="0"/>
    <n v="0"/>
    <n v="1584217"/>
    <x v="10"/>
    <s v="topnaturalmattresses.com"/>
    <n v="0"/>
    <n v="0"/>
    <n v="0"/>
    <n v="0"/>
    <n v="0"/>
    <n v="0"/>
    <n v="0"/>
    <n v="0"/>
    <n v="0"/>
    <n v="0"/>
    <n v="0"/>
    <n v="0"/>
    <n v="0"/>
  </r>
  <r>
    <x v="4"/>
    <s v="2284878-Tuck.com LLC-www.sleepfoundation.org/"/>
    <n v="27"/>
    <n v="0"/>
    <n v="0"/>
    <n v="0"/>
    <n v="0"/>
    <n v="0"/>
    <n v="0"/>
    <n v="0"/>
    <n v="0"/>
    <n v="0"/>
    <n v="2284878"/>
    <x v="11"/>
    <s v="www.sleepfoundation.org/"/>
    <n v="0"/>
    <n v="0"/>
    <n v="0"/>
    <n v="0"/>
    <n v="0"/>
    <n v="0"/>
    <n v="0"/>
    <n v="0"/>
    <n v="0"/>
    <n v="0"/>
    <n v="0"/>
    <n v="0"/>
    <n v="0"/>
  </r>
  <r>
    <x v="4"/>
    <s v="1773960-Tuck.com LLC-tuck.com"/>
    <n v="18"/>
    <n v="0"/>
    <n v="0"/>
    <n v="0"/>
    <n v="0"/>
    <n v="0"/>
    <n v="0"/>
    <n v="0"/>
    <n v="0"/>
    <n v="0"/>
    <n v="1773960"/>
    <x v="11"/>
    <s v="tuck.com"/>
    <n v="0"/>
    <n v="0"/>
    <n v="0"/>
    <n v="0"/>
    <n v="0"/>
    <n v="0"/>
    <n v="0"/>
    <n v="0"/>
    <n v="0"/>
    <n v="0"/>
    <n v="0"/>
    <n v="0"/>
    <n v="0"/>
  </r>
  <r>
    <x v="4"/>
    <s v="201285-12 Interactive LLC-www.perkspot.com"/>
    <n v="10"/>
    <n v="0"/>
    <n v="0"/>
    <n v="0"/>
    <n v="0"/>
    <n v="0"/>
    <n v="0"/>
    <n v="0"/>
    <n v="0"/>
    <n v="0"/>
    <n v="201285"/>
    <x v="5"/>
    <s v="www.perkspot.com"/>
    <n v="0"/>
    <n v="0"/>
    <n v="0"/>
    <n v="0"/>
    <n v="0"/>
    <n v="0"/>
    <n v="0"/>
    <n v="0"/>
    <n v="0"/>
    <n v="0"/>
    <n v="0"/>
    <n v="0"/>
    <n v="0"/>
  </r>
  <r>
    <x v="4"/>
    <s v="1014069-Mutzel Nutrition LLC-highintensityhealth.com/"/>
    <n v="9"/>
    <n v="0"/>
    <n v="0"/>
    <n v="0"/>
    <n v="0"/>
    <n v="0"/>
    <n v="0"/>
    <n v="0"/>
    <n v="0"/>
    <n v="0"/>
    <n v="1014069"/>
    <x v="14"/>
    <s v="highintensityhealth.com/"/>
    <n v="0"/>
    <n v="0"/>
    <n v="0"/>
    <n v="0"/>
    <n v="0"/>
    <n v="0"/>
    <n v="0"/>
    <n v="0"/>
    <n v="0"/>
    <n v="0"/>
    <n v="0"/>
    <n v="0"/>
    <n v="0"/>
  </r>
  <r>
    <x v="4"/>
    <s v="140995-Savings.com Inc-www.savings.com"/>
    <n v="8"/>
    <n v="0"/>
    <n v="0"/>
    <n v="0"/>
    <n v="0"/>
    <n v="0"/>
    <n v="0"/>
    <n v="0"/>
    <n v="0"/>
    <n v="0"/>
    <n v="140995"/>
    <x v="7"/>
    <s v="www.savings.com"/>
    <n v="0"/>
    <n v="0"/>
    <n v="0"/>
    <n v="0"/>
    <n v="0"/>
    <n v="0"/>
    <n v="0"/>
    <n v="0"/>
    <n v="0"/>
    <n v="0"/>
    <n v="0"/>
    <n v="0"/>
    <n v="0"/>
  </r>
  <r>
    <x v="4"/>
    <s v="2053730-WW Affiliate-www.yourbestmattress247.com"/>
    <n v="8"/>
    <n v="0"/>
    <n v="0"/>
    <n v="0"/>
    <n v="0"/>
    <n v="0"/>
    <n v="0"/>
    <n v="0"/>
    <n v="0"/>
    <n v="0"/>
    <n v="2053730"/>
    <x v="12"/>
    <s v="www.yourbestmattress247.com"/>
    <n v="0"/>
    <n v="0"/>
    <n v="0"/>
    <n v="0"/>
    <n v="0"/>
    <n v="0"/>
    <n v="0"/>
    <n v="0"/>
    <n v="0"/>
    <n v="0"/>
    <n v="0"/>
    <n v="0"/>
    <n v="0"/>
  </r>
  <r>
    <x v="4"/>
    <s v="2243506-Pannon Digital Ltd-www.weightedblanketguides.com/"/>
    <n v="8"/>
    <n v="0"/>
    <n v="0"/>
    <n v="0"/>
    <n v="0"/>
    <n v="0"/>
    <n v="0"/>
    <n v="0"/>
    <n v="0"/>
    <n v="0"/>
    <n v="2243506"/>
    <x v="20"/>
    <s v="www.weightedblanketguides.com/"/>
    <n v="0"/>
    <n v="0"/>
    <n v="0"/>
    <n v="0"/>
    <n v="0"/>
    <n v="0"/>
    <n v="0"/>
    <n v="0"/>
    <n v="0"/>
    <n v="0"/>
    <n v="0"/>
    <n v="0"/>
    <n v="0"/>
  </r>
  <r>
    <x v="4"/>
    <s v="1238556-YIELDKIT GmbH-yieldkit.com"/>
    <n v="4"/>
    <n v="0"/>
    <n v="0"/>
    <n v="0"/>
    <n v="0"/>
    <n v="0"/>
    <n v="0"/>
    <n v="0"/>
    <n v="0"/>
    <n v="0"/>
    <n v="1238556"/>
    <x v="3"/>
    <s v="yieldkit.com"/>
    <n v="0"/>
    <n v="0"/>
    <n v="0"/>
    <n v="0"/>
    <n v="0"/>
    <n v="0"/>
    <n v="0"/>
    <n v="0"/>
    <n v="0"/>
    <n v="0"/>
    <n v="0"/>
    <n v="0"/>
    <n v="0"/>
  </r>
  <r>
    <x v="4"/>
    <s v="1413766-LinkGains (HK) Limited-www.hotdeals.com"/>
    <n v="4"/>
    <n v="0"/>
    <n v="0"/>
    <n v="0"/>
    <n v="0"/>
    <n v="0"/>
    <n v="0"/>
    <n v="0"/>
    <n v="0"/>
    <n v="0"/>
    <n v="1413766"/>
    <x v="16"/>
    <s v="www.hotdeals.com"/>
    <n v="0"/>
    <n v="0"/>
    <n v="0"/>
    <n v="0"/>
    <n v="0"/>
    <n v="0"/>
    <n v="0"/>
    <n v="0"/>
    <n v="0"/>
    <n v="0"/>
    <n v="0"/>
    <n v="0"/>
    <n v="0"/>
  </r>
  <r>
    <x v="4"/>
    <s v="745788-digidip GmbH-digidip.net"/>
    <n v="3"/>
    <n v="0"/>
    <n v="0"/>
    <n v="0"/>
    <n v="0"/>
    <n v="0"/>
    <n v="0"/>
    <n v="0"/>
    <n v="0"/>
    <n v="0"/>
    <n v="745788"/>
    <x v="18"/>
    <s v="digidip.net"/>
    <n v="0"/>
    <n v="0"/>
    <n v="0"/>
    <n v="0"/>
    <n v="0"/>
    <n v="0"/>
    <n v="0"/>
    <n v="0"/>
    <n v="0"/>
    <n v="0"/>
    <n v="0"/>
    <n v="0"/>
    <n v="0"/>
  </r>
  <r>
    <x v="4"/>
    <s v="748814-Reviewed.com-www.reviewed.com"/>
    <n v="3"/>
    <n v="0"/>
    <n v="0"/>
    <n v="0"/>
    <n v="0"/>
    <n v="0"/>
    <n v="0"/>
    <n v="0"/>
    <n v="0"/>
    <n v="0"/>
    <n v="748814"/>
    <x v="13"/>
    <s v="www.reviewed.com"/>
    <n v="0"/>
    <n v="0"/>
    <n v="0"/>
    <n v="0"/>
    <n v="0"/>
    <n v="0"/>
    <n v="0"/>
    <n v="0"/>
    <n v="0"/>
    <n v="0"/>
    <n v="0"/>
    <n v="0"/>
    <n v="0"/>
  </r>
  <r>
    <x v="4"/>
    <s v="2182271-Promo Codes Guide LLC-www.promocodes.guide"/>
    <n v="3"/>
    <n v="0"/>
    <n v="0"/>
    <n v="0"/>
    <n v="0"/>
    <n v="0"/>
    <n v="0"/>
    <n v="0"/>
    <n v="0"/>
    <n v="0"/>
    <n v="2182271"/>
    <x v="2"/>
    <s v="www.promocodes.guide"/>
    <n v="0"/>
    <n v="0"/>
    <n v="0"/>
    <n v="0"/>
    <n v="0"/>
    <n v="0"/>
    <n v="0"/>
    <n v="0"/>
    <n v="0"/>
    <n v="0"/>
    <n v="0"/>
    <n v="0"/>
    <n v="0"/>
  </r>
  <r>
    <x v="4"/>
    <s v="136482-Vertive LLC (Offers.com LLC.)-offers.com"/>
    <n v="2"/>
    <n v="0"/>
    <n v="0"/>
    <n v="0"/>
    <n v="0"/>
    <n v="0"/>
    <n v="0"/>
    <n v="0"/>
    <n v="0"/>
    <n v="0"/>
    <n v="136482"/>
    <x v="8"/>
    <s v="offers.com"/>
    <n v="0"/>
    <n v="0"/>
    <n v="0"/>
    <n v="0"/>
    <n v="0"/>
    <n v="0"/>
    <n v="0"/>
    <n v="0"/>
    <n v="0"/>
    <n v="0"/>
    <n v="0"/>
    <n v="0"/>
    <n v="0"/>
  </r>
  <r>
    <x v="4"/>
    <s v="193744-shareasaleaffnl@rmn.com-www.retailmenot.com"/>
    <n v="2"/>
    <n v="0"/>
    <n v="0"/>
    <n v="0"/>
    <n v="0"/>
    <n v="0"/>
    <n v="0"/>
    <n v="0"/>
    <n v="0"/>
    <n v="0"/>
    <n v="193744"/>
    <x v="30"/>
    <s v="www.retailmenot.com"/>
    <n v="0"/>
    <n v="0"/>
    <n v="0"/>
    <n v="0"/>
    <n v="0"/>
    <n v="0"/>
    <n v="0"/>
    <n v="0"/>
    <n v="0"/>
    <n v="0"/>
    <n v="0"/>
    <n v="0"/>
    <n v="0"/>
  </r>
  <r>
    <x v="4"/>
    <s v="514792-CBS Interactive Inc.-www.cnet.com"/>
    <n v="2"/>
    <n v="0"/>
    <n v="0"/>
    <n v="0"/>
    <n v="0"/>
    <n v="0"/>
    <n v="0"/>
    <n v="0"/>
    <n v="0"/>
    <n v="0"/>
    <n v="514792"/>
    <x v="19"/>
    <s v="www.cnet.com"/>
    <n v="0"/>
    <n v="0"/>
    <n v="0"/>
    <n v="0"/>
    <n v="0"/>
    <n v="0"/>
    <n v="0"/>
    <n v="0"/>
    <n v="0"/>
    <n v="0"/>
    <n v="0"/>
    <n v="0"/>
    <n v="0"/>
  </r>
  <r>
    <x v="4"/>
    <s v="1023348-Influenced Media LLC-momprepares.com"/>
    <n v="2"/>
    <n v="0"/>
    <n v="0"/>
    <n v="0"/>
    <n v="0"/>
    <n v="0"/>
    <n v="0"/>
    <n v="0"/>
    <n v="0"/>
    <n v="0"/>
    <n v="1023348"/>
    <x v="59"/>
    <s v="momprepares.com"/>
    <n v="0"/>
    <n v="0"/>
    <n v="0"/>
    <n v="0"/>
    <n v="0"/>
    <n v="0"/>
    <n v="0"/>
    <n v="0"/>
    <n v="0"/>
    <n v="0"/>
    <n v="0"/>
    <n v="0"/>
    <n v="0"/>
  </r>
  <r>
    <x v="4"/>
    <s v="1225169-Vox Media LLC-www.voxmedia.com/a/vm"/>
    <n v="2"/>
    <n v="0"/>
    <n v="0"/>
    <n v="0"/>
    <n v="0"/>
    <n v="0"/>
    <n v="0"/>
    <n v="0"/>
    <n v="0"/>
    <n v="0"/>
    <n v="1225169"/>
    <x v="24"/>
    <s v="www.voxmedia.com/a/vm"/>
    <n v="0"/>
    <n v="0"/>
    <n v="0"/>
    <n v="0"/>
    <n v="0"/>
    <n v="0"/>
    <n v="0"/>
    <n v="0"/>
    <n v="0"/>
    <n v="0"/>
    <n v="0"/>
    <n v="0"/>
    <n v="0"/>
  </r>
  <r>
    <x v="4"/>
    <s v="1242889-RIZKNOWS LLC-www.rizknows.com"/>
    <n v="2"/>
    <n v="0"/>
    <n v="0"/>
    <n v="0"/>
    <n v="0"/>
    <n v="0"/>
    <n v="0"/>
    <n v="0"/>
    <n v="0"/>
    <n v="0"/>
    <n v="1242889"/>
    <x v="25"/>
    <s v="www.rizknows.com"/>
    <n v="0"/>
    <n v="0"/>
    <n v="0"/>
    <n v="0"/>
    <n v="0"/>
    <n v="0"/>
    <n v="0"/>
    <n v="0"/>
    <n v="0"/>
    <n v="0"/>
    <n v="0"/>
    <n v="0"/>
    <n v="0"/>
  </r>
  <r>
    <x v="4"/>
    <s v="1663605-GSG North America LLC-coupons.businessinsider.com/"/>
    <n v="2"/>
    <n v="0"/>
    <n v="0"/>
    <n v="0"/>
    <n v="0"/>
    <n v="0"/>
    <n v="0"/>
    <n v="0"/>
    <n v="0"/>
    <n v="0"/>
    <n v="1663605"/>
    <x v="47"/>
    <s v="coupons.businessinsider.com/"/>
    <n v="0"/>
    <n v="0"/>
    <n v="0"/>
    <n v="0"/>
    <n v="0"/>
    <n v="0"/>
    <n v="0"/>
    <n v="0"/>
    <n v="0"/>
    <n v="0"/>
    <n v="0"/>
    <n v="0"/>
    <n v="0"/>
  </r>
  <r>
    <x v="4"/>
    <s v="2059568-Dang Cong Hoang-couponupto.com/"/>
    <n v="2"/>
    <n v="0"/>
    <n v="0"/>
    <n v="0"/>
    <n v="0"/>
    <n v="0"/>
    <n v="0"/>
    <n v="0"/>
    <n v="0"/>
    <n v="0"/>
    <n v="2059568"/>
    <x v="60"/>
    <s v="couponupto.com/"/>
    <n v="0"/>
    <n v="0"/>
    <n v="0"/>
    <n v="0"/>
    <n v="0"/>
    <n v="0"/>
    <n v="0"/>
    <n v="0"/>
    <n v="0"/>
    <n v="0"/>
    <n v="0"/>
    <n v="0"/>
    <n v="0"/>
  </r>
  <r>
    <x v="4"/>
    <s v="2316883-HigherDOSE LLC-higherdose.com/"/>
    <n v="2"/>
    <n v="0"/>
    <n v="0"/>
    <n v="0"/>
    <n v="0"/>
    <n v="0"/>
    <n v="0"/>
    <n v="0"/>
    <n v="0"/>
    <n v="0"/>
    <n v="2316883"/>
    <x v="58"/>
    <s v="higherdose.com/"/>
    <n v="0"/>
    <n v="0"/>
    <n v="0"/>
    <n v="0"/>
    <n v="0"/>
    <n v="0"/>
    <n v="0"/>
    <n v="0"/>
    <n v="0"/>
    <n v="0"/>
    <n v="0"/>
    <n v="0"/>
    <n v="0"/>
  </r>
  <r>
    <x v="4"/>
    <s v="154911-CouponCabin LLC-www.couponcabin.com"/>
    <n v="1"/>
    <n v="0"/>
    <n v="0"/>
    <n v="0"/>
    <n v="0"/>
    <n v="0"/>
    <n v="0"/>
    <n v="0"/>
    <n v="0"/>
    <n v="0"/>
    <n v="154911"/>
    <x v="21"/>
    <s v="www.couponcabin.com"/>
    <n v="0"/>
    <n v="0"/>
    <n v="0"/>
    <n v="0"/>
    <n v="0"/>
    <n v="0"/>
    <n v="0"/>
    <n v="0"/>
    <n v="0"/>
    <n v="0"/>
    <n v="0"/>
    <n v="0"/>
    <n v="0"/>
  </r>
  <r>
    <x v="4"/>
    <s v="318676-Capital Intellect Inc.-www.befrugal.com"/>
    <n v="1"/>
    <n v="0"/>
    <n v="0"/>
    <n v="0"/>
    <n v="0"/>
    <n v="0"/>
    <n v="0"/>
    <n v="0"/>
    <n v="0"/>
    <n v="0"/>
    <n v="318676"/>
    <x v="31"/>
    <s v="www.befrugal.com"/>
    <n v="0"/>
    <n v="0"/>
    <n v="0"/>
    <n v="0"/>
    <n v="0"/>
    <n v="0"/>
    <n v="0"/>
    <n v="0"/>
    <n v="0"/>
    <n v="0"/>
    <n v="0"/>
    <n v="0"/>
    <n v="0"/>
  </r>
  <r>
    <x v="4"/>
    <s v="708786-ANDHI ERMAWAN-couponseeker.com salehunter.com"/>
    <n v="1"/>
    <n v="0"/>
    <n v="0"/>
    <n v="0"/>
    <n v="0"/>
    <n v="0"/>
    <n v="0"/>
    <n v="0"/>
    <n v="0"/>
    <n v="0"/>
    <n v="708786"/>
    <x v="32"/>
    <s v="couponseeker.com, salehunter.com"/>
    <n v="0"/>
    <n v="0"/>
    <n v="0"/>
    <n v="0"/>
    <n v="0"/>
    <n v="0"/>
    <n v="0"/>
    <n v="0"/>
    <n v="0"/>
    <n v="0"/>
    <n v="0"/>
    <n v="0"/>
    <n v="0"/>
  </r>
  <r>
    <x v="4"/>
    <s v="824466-Mazitsol-wativ.com"/>
    <n v="1"/>
    <n v="0"/>
    <n v="0"/>
    <n v="0"/>
    <n v="0"/>
    <n v="0"/>
    <n v="0"/>
    <n v="0"/>
    <n v="0"/>
    <n v="0"/>
    <n v="824466"/>
    <x v="61"/>
    <s v="wativ.com"/>
    <n v="0"/>
    <n v="0"/>
    <n v="0"/>
    <n v="0"/>
    <n v="0"/>
    <n v="0"/>
    <n v="0"/>
    <n v="0"/>
    <n v="0"/>
    <n v="0"/>
    <n v="0"/>
    <n v="0"/>
    <n v="0"/>
  </r>
  <r>
    <x v="4"/>
    <s v="930703-Antifragile Fit-antifragile.fit"/>
    <n v="1"/>
    <n v="0"/>
    <n v="0"/>
    <n v="0"/>
    <n v="0"/>
    <n v="0"/>
    <n v="0"/>
    <n v="0"/>
    <n v="0"/>
    <n v="0"/>
    <n v="930703"/>
    <x v="43"/>
    <s v="antifragile.fit"/>
    <n v="0"/>
    <n v="0"/>
    <n v="0"/>
    <n v="0"/>
    <n v="0"/>
    <n v="0"/>
    <n v="0"/>
    <n v="0"/>
    <n v="0"/>
    <n v="0"/>
    <n v="0"/>
    <n v="0"/>
    <n v="0"/>
  </r>
  <r>
    <x v="4"/>
    <s v="1140999-Chichihaha Limited-www.couponbirds.com"/>
    <n v="1"/>
    <n v="0"/>
    <n v="0"/>
    <n v="0"/>
    <n v="0"/>
    <n v="0"/>
    <n v="0"/>
    <n v="0"/>
    <n v="0"/>
    <n v="0"/>
    <n v="1140999"/>
    <x v="40"/>
    <s v="www.couponbirds.com"/>
    <n v="0"/>
    <n v="0"/>
    <n v="0"/>
    <n v="0"/>
    <n v="0"/>
    <n v="0"/>
    <n v="0"/>
    <n v="0"/>
    <n v="0"/>
    <n v="0"/>
    <n v="0"/>
    <n v="0"/>
    <n v="0"/>
  </r>
  <r>
    <x v="4"/>
    <s v="1372745-SavvyShop-savvyshopworld.com"/>
    <n v="1"/>
    <n v="0"/>
    <n v="0"/>
    <n v="0"/>
    <n v="0"/>
    <n v="0"/>
    <n v="0"/>
    <n v="0"/>
    <n v="0"/>
    <n v="0"/>
    <n v="1372745"/>
    <x v="4"/>
    <s v="savvyshopworld.com"/>
    <n v="0"/>
    <n v="0"/>
    <n v="0"/>
    <n v="0"/>
    <n v="0"/>
    <n v="0"/>
    <n v="0"/>
    <n v="0"/>
    <n v="0"/>
    <n v="0"/>
    <n v="0"/>
    <n v="0"/>
    <n v="0"/>
  </r>
  <r>
    <x v="4"/>
    <s v="1519404-Mariano Cordoba-marianocordoba.me"/>
    <n v="1"/>
    <n v="0"/>
    <n v="0"/>
    <n v="0"/>
    <n v="0"/>
    <n v="0"/>
    <n v="0"/>
    <n v="0"/>
    <n v="0"/>
    <n v="0"/>
    <n v="1519404"/>
    <x v="26"/>
    <s v="marianocordoba.me"/>
    <n v="0"/>
    <n v="0"/>
    <n v="0"/>
    <n v="0"/>
    <n v="0"/>
    <n v="0"/>
    <n v="0"/>
    <n v="0"/>
    <n v="0"/>
    <n v="0"/>
    <n v="0"/>
    <n v="0"/>
    <n v="0"/>
  </r>
  <r>
    <x v="4"/>
    <s v="1772040-Meredith Corporation-www.realsimple.com/"/>
    <n v="1"/>
    <n v="0"/>
    <n v="0"/>
    <n v="0"/>
    <n v="0"/>
    <n v="0"/>
    <n v="0"/>
    <n v="0"/>
    <n v="0"/>
    <n v="0"/>
    <n v="1772040"/>
    <x v="17"/>
    <s v="www.realsimple.com/"/>
    <n v="0"/>
    <n v="0"/>
    <n v="0"/>
    <n v="0"/>
    <n v="0"/>
    <n v="0"/>
    <n v="0"/>
    <n v="0"/>
    <n v="0"/>
    <n v="0"/>
    <n v="0"/>
    <n v="0"/>
    <n v="0"/>
  </r>
  <r>
    <x v="4"/>
    <s v="2015681-Fresh Healthy Media LLC-vegnews.com/"/>
    <n v="1"/>
    <n v="0"/>
    <n v="0"/>
    <n v="0"/>
    <n v="0"/>
    <n v="0"/>
    <n v="0"/>
    <n v="0"/>
    <n v="0"/>
    <n v="0"/>
    <n v="2015681"/>
    <x v="62"/>
    <s v="vegnews.com/"/>
    <n v="0"/>
    <n v="0"/>
    <n v="0"/>
    <n v="0"/>
    <n v="0"/>
    <n v="0"/>
    <n v="0"/>
    <n v="0"/>
    <n v="0"/>
    <n v="0"/>
    <n v="0"/>
    <n v="0"/>
    <n v="0"/>
  </r>
  <r>
    <x v="4"/>
    <s v="2159987-HiSensitives-hisensitives.com"/>
    <n v="1"/>
    <n v="0"/>
    <n v="0"/>
    <n v="0"/>
    <n v="0"/>
    <n v="0"/>
    <n v="0"/>
    <n v="0"/>
    <n v="0"/>
    <n v="0"/>
    <n v="2159987"/>
    <x v="39"/>
    <s v="hisensitives.com"/>
    <n v="0"/>
    <n v="0"/>
    <n v="0"/>
    <n v="0"/>
    <n v="0"/>
    <n v="0"/>
    <n v="0"/>
    <n v="0"/>
    <n v="0"/>
    <n v="0"/>
    <n v="0"/>
    <n v="0"/>
    <n v="0"/>
  </r>
  <r>
    <x v="4"/>
    <s v="2292146-Olymp Technologies Inc-honestbrandreviews.com"/>
    <n v="1"/>
    <n v="0"/>
    <n v="0"/>
    <n v="0"/>
    <n v="0"/>
    <n v="0"/>
    <n v="0"/>
    <n v="0"/>
    <n v="0"/>
    <n v="0"/>
    <n v="2292146"/>
    <x v="54"/>
    <s v="honestbrandreviews.com"/>
    <n v="0"/>
    <n v="0"/>
    <n v="0"/>
    <n v="0"/>
    <n v="0"/>
    <n v="0"/>
    <n v="0"/>
    <n v="0"/>
    <n v="0"/>
    <n v="0"/>
    <n v="0"/>
    <n v="0"/>
    <n v="0"/>
  </r>
  <r>
    <x v="5"/>
    <s v="1773960-Tuck.com LLC-tuck.com"/>
    <n v="15"/>
    <n v="174.3"/>
    <n v="0"/>
    <n v="174.3"/>
    <n v="1"/>
    <n v="0"/>
    <n v="34.86"/>
    <n v="6.67"/>
    <n v="232.4"/>
    <n v="174.3"/>
    <n v="1773960"/>
    <x v="11"/>
    <s v="tuck.com"/>
    <n v="1"/>
    <n v="0"/>
    <n v="0"/>
    <n v="0"/>
    <n v="0"/>
    <n v="0"/>
    <n v="34.86"/>
    <n v="0"/>
    <n v="0"/>
    <n v="0"/>
    <n v="0"/>
    <n v="0"/>
    <n v="6.97"/>
  </r>
  <r>
    <x v="5"/>
    <s v="748814-Reviewed.com-www.reviewed.com"/>
    <n v="7"/>
    <n v="169"/>
    <n v="0"/>
    <n v="169"/>
    <n v="1"/>
    <n v="0"/>
    <n v="30.42"/>
    <n v="14.29"/>
    <n v="434.57"/>
    <n v="169"/>
    <n v="748814"/>
    <x v="13"/>
    <s v="www.reviewed.com"/>
    <n v="1"/>
    <n v="0"/>
    <n v="0"/>
    <n v="0"/>
    <n v="0"/>
    <n v="0"/>
    <n v="30.42"/>
    <n v="0"/>
    <n v="0"/>
    <n v="0"/>
    <n v="0"/>
    <n v="0"/>
    <n v="6.08"/>
  </r>
  <r>
    <x v="5"/>
    <s v="2284878-Tuck.com LLC-www.sleepfoundation.org/"/>
    <n v="32"/>
    <n v="132.30000000000001"/>
    <n v="0"/>
    <n v="132.30000000000001"/>
    <n v="1"/>
    <n v="0"/>
    <n v="26.46"/>
    <n v="3.13"/>
    <n v="82.69"/>
    <n v="132.30000000000001"/>
    <n v="2284878"/>
    <x v="11"/>
    <s v="www.sleepfoundation.org/"/>
    <n v="1"/>
    <n v="0"/>
    <n v="0"/>
    <n v="0"/>
    <n v="0"/>
    <n v="0"/>
    <n v="26.46"/>
    <n v="0"/>
    <n v="0"/>
    <n v="0"/>
    <n v="0"/>
    <n v="0"/>
    <n v="5.29"/>
  </r>
  <r>
    <x v="5"/>
    <s v="725033-ID.me Inc.-shop.id.me"/>
    <n v="67"/>
    <n v="463.2"/>
    <n v="0"/>
    <n v="463.2"/>
    <n v="3"/>
    <n v="0"/>
    <n v="13.9"/>
    <n v="4.4800000000000004"/>
    <n v="20.75"/>
    <n v="154.4"/>
    <n v="725033"/>
    <x v="1"/>
    <s v="shop.id.me"/>
    <n v="3"/>
    <n v="0"/>
    <n v="0"/>
    <n v="0"/>
    <n v="0"/>
    <n v="0"/>
    <n v="13.9"/>
    <n v="0"/>
    <n v="0"/>
    <n v="0"/>
    <n v="0"/>
    <n v="0"/>
    <n v="2.77"/>
  </r>
  <r>
    <x v="5"/>
    <s v="2182271-Promo Codes Guide LLC-www.promocodes.guide"/>
    <n v="2"/>
    <n v="215.1"/>
    <n v="0"/>
    <n v="215.1"/>
    <n v="1"/>
    <n v="0"/>
    <n v="6.45"/>
    <n v="50"/>
    <n v="322.5"/>
    <n v="215.1"/>
    <n v="2182271"/>
    <x v="2"/>
    <s v="www.promocodes.guide"/>
    <n v="1"/>
    <n v="0"/>
    <n v="0"/>
    <n v="0"/>
    <n v="0"/>
    <n v="0"/>
    <n v="6.45"/>
    <n v="0"/>
    <n v="0"/>
    <n v="0"/>
    <n v="0"/>
    <n v="0"/>
    <n v="1.29"/>
  </r>
  <r>
    <x v="5"/>
    <s v="136482-Vertive LLC (Offers.com LLC.)-offers.com"/>
    <n v="2"/>
    <n v="139.30000000000001"/>
    <n v="0"/>
    <n v="139.30000000000001"/>
    <n v="1"/>
    <n v="0"/>
    <n v="4.18"/>
    <n v="50"/>
    <n v="209"/>
    <n v="139.30000000000001"/>
    <n v="136482"/>
    <x v="8"/>
    <s v="offers.com"/>
    <n v="1"/>
    <n v="0"/>
    <n v="0"/>
    <n v="0"/>
    <n v="0"/>
    <n v="0"/>
    <n v="4.18"/>
    <n v="0"/>
    <n v="0"/>
    <n v="0"/>
    <n v="0"/>
    <n v="0"/>
    <n v="0.84"/>
  </r>
  <r>
    <x v="5"/>
    <s v="314743-Skimbit Ltd-skimlinks.com"/>
    <n v="101"/>
    <n v="0"/>
    <n v="0"/>
    <n v="0"/>
    <n v="0"/>
    <n v="0"/>
    <n v="0"/>
    <n v="0"/>
    <n v="0"/>
    <n v="0"/>
    <n v="314743"/>
    <x v="9"/>
    <s v="skimlinks.com"/>
    <n v="0"/>
    <n v="0"/>
    <n v="0"/>
    <n v="0"/>
    <n v="0"/>
    <n v="0"/>
    <n v="0"/>
    <n v="0"/>
    <n v="0"/>
    <n v="0"/>
    <n v="0"/>
    <n v="0"/>
    <n v="0"/>
  </r>
  <r>
    <x v="5"/>
    <s v="1584217-Trends Green-topnaturalmattresses.com"/>
    <n v="45"/>
    <n v="0"/>
    <n v="0"/>
    <n v="0"/>
    <n v="0"/>
    <n v="0"/>
    <n v="0"/>
    <n v="0"/>
    <n v="0"/>
    <n v="0"/>
    <n v="1584217"/>
    <x v="10"/>
    <s v="topnaturalmattresses.com"/>
    <n v="0"/>
    <n v="0"/>
    <n v="0"/>
    <n v="0"/>
    <n v="0"/>
    <n v="0"/>
    <n v="0"/>
    <n v="0"/>
    <n v="0"/>
    <n v="0"/>
    <n v="0"/>
    <n v="0"/>
    <n v="0"/>
  </r>
  <r>
    <x v="5"/>
    <s v="1088116-Business Insider Inc.-www.businessinsider.com"/>
    <n v="39"/>
    <n v="0"/>
    <n v="0"/>
    <n v="0"/>
    <n v="0"/>
    <n v="0"/>
    <n v="0"/>
    <n v="0"/>
    <n v="0"/>
    <n v="0"/>
    <n v="1088116"/>
    <x v="0"/>
    <s v="www.businessinsider.com"/>
    <n v="0"/>
    <n v="0"/>
    <n v="0"/>
    <n v="0"/>
    <n v="0"/>
    <n v="0"/>
    <n v="0"/>
    <n v="0"/>
    <n v="0"/>
    <n v="0"/>
    <n v="0"/>
    <n v="0"/>
    <n v="0"/>
  </r>
  <r>
    <x v="5"/>
    <s v="2053730-WW Affiliate-www.yourbestmattress247.com"/>
    <n v="38"/>
    <n v="0"/>
    <n v="0"/>
    <n v="0"/>
    <n v="0"/>
    <n v="0"/>
    <n v="0"/>
    <n v="0"/>
    <n v="0"/>
    <n v="0"/>
    <n v="2053730"/>
    <x v="12"/>
    <s v="www.yourbestmattress247.com"/>
    <n v="0"/>
    <n v="0"/>
    <n v="0"/>
    <n v="0"/>
    <n v="0"/>
    <n v="0"/>
    <n v="0"/>
    <n v="0"/>
    <n v="0"/>
    <n v="0"/>
    <n v="0"/>
    <n v="0"/>
    <n v="0"/>
  </r>
  <r>
    <x v="5"/>
    <s v="389818-VigLink Inc.-www.viglink.com"/>
    <n v="16"/>
    <n v="0"/>
    <n v="0"/>
    <n v="0"/>
    <n v="0"/>
    <n v="0"/>
    <n v="0"/>
    <n v="0"/>
    <n v="0"/>
    <n v="0"/>
    <n v="389818"/>
    <x v="15"/>
    <s v="www.viglink.com"/>
    <n v="0"/>
    <n v="0"/>
    <n v="0"/>
    <n v="0"/>
    <n v="0"/>
    <n v="0"/>
    <n v="0"/>
    <n v="0"/>
    <n v="0"/>
    <n v="0"/>
    <n v="0"/>
    <n v="0"/>
    <n v="0"/>
  </r>
  <r>
    <x v="5"/>
    <s v="201285-12 Interactive LLC-www.perkspot.com"/>
    <n v="12"/>
    <n v="0"/>
    <n v="0"/>
    <n v="0"/>
    <n v="0"/>
    <n v="0"/>
    <n v="0"/>
    <n v="0"/>
    <n v="0"/>
    <n v="0"/>
    <n v="201285"/>
    <x v="5"/>
    <s v="www.perkspot.com"/>
    <n v="0"/>
    <n v="0"/>
    <n v="0"/>
    <n v="0"/>
    <n v="0"/>
    <n v="0"/>
    <n v="0"/>
    <n v="0"/>
    <n v="0"/>
    <n v="0"/>
    <n v="0"/>
    <n v="0"/>
    <n v="0"/>
  </r>
  <r>
    <x v="5"/>
    <s v="1014069-Mutzel Nutrition LLC-highintensityhealth.com/"/>
    <n v="12"/>
    <n v="0"/>
    <n v="0"/>
    <n v="0"/>
    <n v="0"/>
    <n v="0"/>
    <n v="0"/>
    <n v="0"/>
    <n v="0"/>
    <n v="0"/>
    <n v="1014069"/>
    <x v="14"/>
    <s v="highintensityhealth.com/"/>
    <n v="0"/>
    <n v="0"/>
    <n v="0"/>
    <n v="0"/>
    <n v="0"/>
    <n v="0"/>
    <n v="0"/>
    <n v="0"/>
    <n v="0"/>
    <n v="0"/>
    <n v="0"/>
    <n v="0"/>
    <n v="0"/>
  </r>
  <r>
    <x v="5"/>
    <s v="445875-Demand.io-knoji.com"/>
    <n v="11"/>
    <n v="0"/>
    <n v="0"/>
    <n v="0"/>
    <n v="0"/>
    <n v="0"/>
    <n v="0"/>
    <n v="0"/>
    <n v="0"/>
    <n v="0"/>
    <n v="445875"/>
    <x v="6"/>
    <s v="knoji.com"/>
    <n v="0"/>
    <n v="0"/>
    <n v="0"/>
    <n v="0"/>
    <n v="0"/>
    <n v="0"/>
    <n v="0"/>
    <n v="0"/>
    <n v="0"/>
    <n v="0"/>
    <n v="0"/>
    <n v="0"/>
    <n v="0"/>
  </r>
  <r>
    <x v="5"/>
    <s v="1772040-Meredith Corporation-www.realsimple.com/"/>
    <n v="9"/>
    <n v="0"/>
    <n v="0"/>
    <n v="0"/>
    <n v="0"/>
    <n v="0"/>
    <n v="0"/>
    <n v="0"/>
    <n v="0"/>
    <n v="0"/>
    <n v="1772040"/>
    <x v="17"/>
    <s v="www.realsimple.com/"/>
    <n v="0"/>
    <n v="0"/>
    <n v="0"/>
    <n v="0"/>
    <n v="0"/>
    <n v="0"/>
    <n v="0"/>
    <n v="0"/>
    <n v="0"/>
    <n v="0"/>
    <n v="0"/>
    <n v="0"/>
    <n v="0"/>
  </r>
  <r>
    <x v="5"/>
    <s v="140995-Savings.com Inc-www.savings.com"/>
    <n v="6"/>
    <n v="0"/>
    <n v="0"/>
    <n v="0"/>
    <n v="0"/>
    <n v="0"/>
    <n v="0"/>
    <n v="0"/>
    <n v="0"/>
    <n v="0"/>
    <n v="140995"/>
    <x v="7"/>
    <s v="www.savings.com"/>
    <n v="0"/>
    <n v="0"/>
    <n v="0"/>
    <n v="0"/>
    <n v="0"/>
    <n v="0"/>
    <n v="0"/>
    <n v="0"/>
    <n v="0"/>
    <n v="0"/>
    <n v="0"/>
    <n v="0"/>
    <n v="0"/>
  </r>
  <r>
    <x v="5"/>
    <s v="1413766-LinkGains (HK) Limited-www.hotdeals.com"/>
    <n v="5"/>
    <n v="0"/>
    <n v="0"/>
    <n v="0"/>
    <n v="0"/>
    <n v="0"/>
    <n v="0"/>
    <n v="0"/>
    <n v="0"/>
    <n v="0"/>
    <n v="1413766"/>
    <x v="16"/>
    <s v="www.hotdeals.com"/>
    <n v="0"/>
    <n v="0"/>
    <n v="0"/>
    <n v="0"/>
    <n v="0"/>
    <n v="0"/>
    <n v="0"/>
    <n v="0"/>
    <n v="0"/>
    <n v="0"/>
    <n v="0"/>
    <n v="0"/>
    <n v="0"/>
  </r>
  <r>
    <x v="5"/>
    <s v="1238556-YIELDKIT GmbH-yieldkit.com"/>
    <n v="4"/>
    <n v="0"/>
    <n v="0"/>
    <n v="0"/>
    <n v="0"/>
    <n v="0"/>
    <n v="0"/>
    <n v="0"/>
    <n v="0"/>
    <n v="0"/>
    <n v="1238556"/>
    <x v="3"/>
    <s v="yieldkit.com"/>
    <n v="0"/>
    <n v="0"/>
    <n v="0"/>
    <n v="0"/>
    <n v="0"/>
    <n v="0"/>
    <n v="0"/>
    <n v="0"/>
    <n v="0"/>
    <n v="0"/>
    <n v="0"/>
    <n v="0"/>
    <n v="0"/>
  </r>
  <r>
    <x v="5"/>
    <s v="745788-digidip GmbH-digidip.net"/>
    <n v="3"/>
    <n v="0"/>
    <n v="0"/>
    <n v="0"/>
    <n v="0"/>
    <n v="0"/>
    <n v="0"/>
    <n v="0"/>
    <n v="0"/>
    <n v="0"/>
    <n v="745788"/>
    <x v="18"/>
    <s v="digidip.net"/>
    <n v="0"/>
    <n v="0"/>
    <n v="0"/>
    <n v="0"/>
    <n v="0"/>
    <n v="0"/>
    <n v="0"/>
    <n v="0"/>
    <n v="0"/>
    <n v="0"/>
    <n v="0"/>
    <n v="0"/>
    <n v="0"/>
  </r>
  <r>
    <x v="5"/>
    <s v="1242889-RIZKNOWS LLC-www.rizknows.com"/>
    <n v="3"/>
    <n v="0"/>
    <n v="0"/>
    <n v="0"/>
    <n v="0"/>
    <n v="0"/>
    <n v="0"/>
    <n v="0"/>
    <n v="0"/>
    <n v="0"/>
    <n v="1242889"/>
    <x v="25"/>
    <s v="www.rizknows.com"/>
    <n v="0"/>
    <n v="0"/>
    <n v="0"/>
    <n v="0"/>
    <n v="0"/>
    <n v="0"/>
    <n v="0"/>
    <n v="0"/>
    <n v="0"/>
    <n v="0"/>
    <n v="0"/>
    <n v="0"/>
    <n v="0"/>
  </r>
  <r>
    <x v="5"/>
    <s v="2243506-Pannon Digital Ltd-www.weightedblanketguides.com/"/>
    <n v="3"/>
    <n v="0"/>
    <n v="0"/>
    <n v="0"/>
    <n v="0"/>
    <n v="0"/>
    <n v="0"/>
    <n v="0"/>
    <n v="0"/>
    <n v="0"/>
    <n v="2243506"/>
    <x v="20"/>
    <s v="www.weightedblanketguides.com/"/>
    <n v="0"/>
    <n v="0"/>
    <n v="0"/>
    <n v="0"/>
    <n v="0"/>
    <n v="0"/>
    <n v="0"/>
    <n v="0"/>
    <n v="0"/>
    <n v="0"/>
    <n v="0"/>
    <n v="0"/>
    <n v="0"/>
  </r>
  <r>
    <x v="5"/>
    <s v="193744-shareasaleaffnl@rmn.com-www.retailmenot.com"/>
    <n v="2"/>
    <n v="0"/>
    <n v="0"/>
    <n v="0"/>
    <n v="0"/>
    <n v="0"/>
    <n v="0"/>
    <n v="0"/>
    <n v="0"/>
    <n v="0"/>
    <n v="193744"/>
    <x v="30"/>
    <s v="www.retailmenot.com"/>
    <n v="0"/>
    <n v="0"/>
    <n v="0"/>
    <n v="0"/>
    <n v="0"/>
    <n v="0"/>
    <n v="0"/>
    <n v="0"/>
    <n v="0"/>
    <n v="0"/>
    <n v="0"/>
    <n v="0"/>
    <n v="0"/>
  </r>
  <r>
    <x v="5"/>
    <s v="514792-CBS Interactive Inc.-www.cnet.com"/>
    <n v="2"/>
    <n v="0"/>
    <n v="0"/>
    <n v="0"/>
    <n v="0"/>
    <n v="0"/>
    <n v="0"/>
    <n v="0"/>
    <n v="0"/>
    <n v="0"/>
    <n v="514792"/>
    <x v="19"/>
    <s v="www.cnet.com"/>
    <n v="0"/>
    <n v="0"/>
    <n v="0"/>
    <n v="0"/>
    <n v="0"/>
    <n v="0"/>
    <n v="0"/>
    <n v="0"/>
    <n v="0"/>
    <n v="0"/>
    <n v="0"/>
    <n v="0"/>
    <n v="0"/>
  </r>
  <r>
    <x v="5"/>
    <s v="1140999-Chichihaha Limited-www.couponbirds.com"/>
    <n v="2"/>
    <n v="0"/>
    <n v="0"/>
    <n v="0"/>
    <n v="0"/>
    <n v="0"/>
    <n v="0"/>
    <n v="0"/>
    <n v="0"/>
    <n v="0"/>
    <n v="1140999"/>
    <x v="40"/>
    <s v="www.couponbirds.com"/>
    <n v="0"/>
    <n v="0"/>
    <n v="0"/>
    <n v="0"/>
    <n v="0"/>
    <n v="0"/>
    <n v="0"/>
    <n v="0"/>
    <n v="0"/>
    <n v="0"/>
    <n v="0"/>
    <n v="0"/>
    <n v="0"/>
  </r>
  <r>
    <x v="5"/>
    <s v="1578665-Mattress Advisor LLC-sleepopolis.com"/>
    <n v="2"/>
    <n v="0"/>
    <n v="0"/>
    <n v="0"/>
    <n v="0"/>
    <n v="0"/>
    <n v="0"/>
    <n v="0"/>
    <n v="0"/>
    <n v="0"/>
    <n v="1578665"/>
    <x v="27"/>
    <s v="sleepopolis.com"/>
    <n v="0"/>
    <n v="0"/>
    <n v="0"/>
    <n v="0"/>
    <n v="0"/>
    <n v="0"/>
    <n v="0"/>
    <n v="0"/>
    <n v="0"/>
    <n v="0"/>
    <n v="0"/>
    <n v="0"/>
    <n v="0"/>
  </r>
  <r>
    <x v="5"/>
    <s v="2029250-CNN Interactive Group-www.cnn.com/cnn-underscored/"/>
    <n v="2"/>
    <n v="0"/>
    <n v="0"/>
    <n v="0"/>
    <n v="0"/>
    <n v="0"/>
    <n v="0"/>
    <n v="0"/>
    <n v="0"/>
    <n v="0"/>
    <n v="2029250"/>
    <x v="41"/>
    <s v="www.cnn.com/cnn-underscored/"/>
    <n v="0"/>
    <n v="0"/>
    <n v="0"/>
    <n v="0"/>
    <n v="0"/>
    <n v="0"/>
    <n v="0"/>
    <n v="0"/>
    <n v="0"/>
    <n v="0"/>
    <n v="0"/>
    <n v="0"/>
    <n v="0"/>
  </r>
  <r>
    <x v="5"/>
    <s v="154911-CouponCabin LLC-www.couponcabin.com"/>
    <n v="1"/>
    <n v="0"/>
    <n v="0"/>
    <n v="0"/>
    <n v="0"/>
    <n v="0"/>
    <n v="0"/>
    <n v="0"/>
    <n v="0"/>
    <n v="0"/>
    <n v="154911"/>
    <x v="21"/>
    <s v="www.couponcabin.com"/>
    <n v="0"/>
    <n v="0"/>
    <n v="0"/>
    <n v="0"/>
    <n v="0"/>
    <n v="0"/>
    <n v="0"/>
    <n v="0"/>
    <n v="0"/>
    <n v="0"/>
    <n v="0"/>
    <n v="0"/>
    <n v="0"/>
  </r>
  <r>
    <x v="5"/>
    <s v="213636-SurfMyAds.com-www.promocodes.com"/>
    <n v="1"/>
    <n v="0"/>
    <n v="0"/>
    <n v="0"/>
    <n v="0"/>
    <n v="0"/>
    <n v="0"/>
    <n v="0"/>
    <n v="0"/>
    <n v="0"/>
    <n v="213636"/>
    <x v="22"/>
    <s v="www.promocodes.com"/>
    <n v="0"/>
    <n v="0"/>
    <n v="0"/>
    <n v="0"/>
    <n v="0"/>
    <n v="0"/>
    <n v="0"/>
    <n v="0"/>
    <n v="0"/>
    <n v="0"/>
    <n v="0"/>
    <n v="0"/>
    <n v="0"/>
  </r>
  <r>
    <x v="5"/>
    <s v="318676-Capital Intellect Inc.-www.befrugal.com"/>
    <n v="1"/>
    <n v="0"/>
    <n v="0"/>
    <n v="0"/>
    <n v="0"/>
    <n v="0"/>
    <n v="0"/>
    <n v="0"/>
    <n v="0"/>
    <n v="0"/>
    <n v="318676"/>
    <x v="31"/>
    <s v="www.befrugal.com"/>
    <n v="0"/>
    <n v="0"/>
    <n v="0"/>
    <n v="0"/>
    <n v="0"/>
    <n v="0"/>
    <n v="0"/>
    <n v="0"/>
    <n v="0"/>
    <n v="0"/>
    <n v="0"/>
    <n v="0"/>
    <n v="0"/>
  </r>
  <r>
    <x v="5"/>
    <s v="473774-Miki Pavlov-couponsolver.com"/>
    <n v="1"/>
    <n v="0"/>
    <n v="0"/>
    <n v="0"/>
    <n v="0"/>
    <n v="0"/>
    <n v="0"/>
    <n v="0"/>
    <n v="0"/>
    <n v="0"/>
    <n v="473774"/>
    <x v="63"/>
    <s v="couponsolver.com"/>
    <n v="0"/>
    <n v="0"/>
    <n v="0"/>
    <n v="0"/>
    <n v="0"/>
    <n v="0"/>
    <n v="0"/>
    <n v="0"/>
    <n v="0"/>
    <n v="0"/>
    <n v="0"/>
    <n v="0"/>
    <n v="0"/>
  </r>
  <r>
    <x v="5"/>
    <s v="742098-adgoal GmbH-www.adgoal.net"/>
    <n v="1"/>
    <n v="0"/>
    <n v="0"/>
    <n v="0"/>
    <n v="0"/>
    <n v="0"/>
    <n v="0"/>
    <n v="0"/>
    <n v="0"/>
    <n v="0"/>
    <n v="742098"/>
    <x v="23"/>
    <s v="www.adgoal.net"/>
    <n v="0"/>
    <n v="0"/>
    <n v="0"/>
    <n v="0"/>
    <n v="0"/>
    <n v="0"/>
    <n v="0"/>
    <n v="0"/>
    <n v="0"/>
    <n v="0"/>
    <n v="0"/>
    <n v="0"/>
    <n v="0"/>
  </r>
  <r>
    <x v="5"/>
    <s v="1538097-Wildfire Systems Inc.-wildfire-corp.com"/>
    <n v="1"/>
    <n v="0"/>
    <n v="0"/>
    <n v="0"/>
    <n v="0"/>
    <n v="0"/>
    <n v="0"/>
    <n v="0"/>
    <n v="0"/>
    <n v="0"/>
    <n v="1538097"/>
    <x v="36"/>
    <s v="wildfire-corp.com"/>
    <n v="0"/>
    <n v="0"/>
    <n v="0"/>
    <n v="0"/>
    <n v="0"/>
    <n v="0"/>
    <n v="0"/>
    <n v="0"/>
    <n v="0"/>
    <n v="0"/>
    <n v="0"/>
    <n v="0"/>
    <n v="0"/>
  </r>
  <r>
    <x v="5"/>
    <s v="1868351-Liberty Labs Ltd-www.libertyvaults.com"/>
    <n v="1"/>
    <n v="0"/>
    <n v="0"/>
    <n v="0"/>
    <n v="0"/>
    <n v="0"/>
    <n v="0"/>
    <n v="0"/>
    <n v="0"/>
    <n v="0"/>
    <n v="1868351"/>
    <x v="53"/>
    <s v="www.libertyvaults.com"/>
    <n v="0"/>
    <n v="0"/>
    <n v="0"/>
    <n v="0"/>
    <n v="0"/>
    <n v="0"/>
    <n v="0"/>
    <n v="0"/>
    <n v="0"/>
    <n v="0"/>
    <n v="0"/>
    <n v="0"/>
    <n v="0"/>
  </r>
  <r>
    <x v="5"/>
    <s v="2075116-Arif Bilal-www.fivestarcoupon.com/"/>
    <n v="1"/>
    <n v="0"/>
    <n v="0"/>
    <n v="0"/>
    <n v="0"/>
    <n v="0"/>
    <n v="0"/>
    <n v="0"/>
    <n v="0"/>
    <n v="0"/>
    <n v="2075116"/>
    <x v="50"/>
    <s v="www.fivestarcoupon.com/"/>
    <n v="0"/>
    <n v="0"/>
    <n v="0"/>
    <n v="0"/>
    <n v="0"/>
    <n v="0"/>
    <n v="0"/>
    <n v="0"/>
    <n v="0"/>
    <n v="0"/>
    <n v="0"/>
    <n v="0"/>
    <n v="0"/>
  </r>
  <r>
    <x v="5"/>
    <s v="2334633-Jo Seney-www.facebook.com/Jabars310SalesPage/"/>
    <n v="1"/>
    <n v="0"/>
    <n v="0"/>
    <n v="0"/>
    <n v="0"/>
    <n v="0"/>
    <n v="0"/>
    <n v="0"/>
    <n v="0"/>
    <n v="0"/>
    <n v="2334633"/>
    <x v="64"/>
    <s v="www.facebook.com/Jabars310SalesPage/"/>
    <n v="0"/>
    <n v="0"/>
    <n v="0"/>
    <n v="0"/>
    <n v="0"/>
    <n v="0"/>
    <n v="0"/>
    <n v="0"/>
    <n v="0"/>
    <n v="0"/>
    <n v="0"/>
    <n v="0"/>
    <n v="0"/>
  </r>
  <r>
    <x v="6"/>
    <s v="748814-Reviewed.com-www.reviewed.com"/>
    <n v="13"/>
    <n v="438"/>
    <n v="0"/>
    <n v="438"/>
    <n v="2"/>
    <n v="0"/>
    <n v="78.84"/>
    <n v="15.38"/>
    <n v="606.46"/>
    <n v="219"/>
    <n v="748814"/>
    <x v="13"/>
    <s v="www.reviewed.com"/>
    <n v="2"/>
    <n v="0"/>
    <n v="0"/>
    <n v="0"/>
    <n v="0"/>
    <n v="0"/>
    <n v="78.84"/>
    <n v="0"/>
    <n v="0"/>
    <n v="0"/>
    <n v="0"/>
    <n v="0"/>
    <n v="15.76"/>
  </r>
  <r>
    <x v="6"/>
    <s v="314743-Skimbit Ltd-skimlinks.com"/>
    <n v="118"/>
    <n v="189"/>
    <n v="0"/>
    <n v="189"/>
    <n v="1"/>
    <n v="0"/>
    <n v="28.35"/>
    <n v="0.85"/>
    <n v="24.03"/>
    <n v="189"/>
    <n v="314743"/>
    <x v="9"/>
    <s v="skimlinks.com"/>
    <n v="1"/>
    <n v="0"/>
    <n v="0"/>
    <n v="0"/>
    <n v="0"/>
    <n v="0"/>
    <n v="28.35"/>
    <n v="0"/>
    <n v="0"/>
    <n v="0"/>
    <n v="0"/>
    <n v="0"/>
    <n v="5.67"/>
  </r>
  <r>
    <x v="6"/>
    <s v="136482-Vertive LLC (Offers.com LLC.)-offers.com"/>
    <n v="4"/>
    <n v="464.1"/>
    <n v="0"/>
    <n v="464.1"/>
    <n v="3"/>
    <n v="0"/>
    <n v="13.92"/>
    <n v="75"/>
    <n v="348"/>
    <n v="154.69999999999999"/>
    <n v="136482"/>
    <x v="8"/>
    <s v="offers.com"/>
    <n v="3"/>
    <n v="0"/>
    <n v="0"/>
    <n v="0"/>
    <n v="0"/>
    <n v="0"/>
    <n v="13.92"/>
    <n v="0"/>
    <n v="0"/>
    <n v="0"/>
    <n v="0"/>
    <n v="0"/>
    <n v="2.79"/>
  </r>
  <r>
    <x v="6"/>
    <s v="725033-ID.me Inc.-shop.id.me"/>
    <n v="42"/>
    <n v="212"/>
    <n v="0"/>
    <n v="212"/>
    <n v="1"/>
    <n v="0"/>
    <n v="6.36"/>
    <n v="2.38"/>
    <n v="15.14"/>
    <n v="212"/>
    <n v="725033"/>
    <x v="1"/>
    <s v="shop.id.me"/>
    <n v="1"/>
    <n v="0"/>
    <n v="0"/>
    <n v="0"/>
    <n v="0"/>
    <n v="0"/>
    <n v="6.36"/>
    <n v="0"/>
    <n v="0"/>
    <n v="0"/>
    <n v="0"/>
    <n v="0"/>
    <n v="1.27"/>
  </r>
  <r>
    <x v="6"/>
    <s v="140995-Savings.com Inc-www.savings.com"/>
    <n v="10"/>
    <n v="181.3"/>
    <n v="0"/>
    <n v="181.3"/>
    <n v="1"/>
    <n v="0"/>
    <n v="5.44"/>
    <n v="10"/>
    <n v="54.4"/>
    <n v="181.3"/>
    <n v="140995"/>
    <x v="7"/>
    <s v="www.savings.com"/>
    <n v="1"/>
    <n v="0"/>
    <n v="0"/>
    <n v="0"/>
    <n v="0"/>
    <n v="0"/>
    <n v="5.44"/>
    <n v="0"/>
    <n v="0"/>
    <n v="0"/>
    <n v="0"/>
    <n v="0"/>
    <n v="1.0900000000000001"/>
  </r>
  <r>
    <x v="6"/>
    <s v="1519404-Mariano Cordoba-marianocordoba.me"/>
    <n v="1"/>
    <n v="139.30000000000001"/>
    <n v="0"/>
    <n v="139.30000000000001"/>
    <n v="1"/>
    <n v="0"/>
    <n v="4.18"/>
    <n v="100"/>
    <n v="418"/>
    <n v="139.30000000000001"/>
    <n v="1519404"/>
    <x v="26"/>
    <s v="marianocordoba.me"/>
    <n v="1"/>
    <n v="0"/>
    <n v="0"/>
    <n v="0"/>
    <n v="0"/>
    <n v="0"/>
    <n v="4.18"/>
    <n v="0"/>
    <n v="0"/>
    <n v="0"/>
    <n v="0"/>
    <n v="0"/>
    <n v="0.84"/>
  </r>
  <r>
    <x v="6"/>
    <s v="1088116-Business Insider Inc.-www.businessinsider.com"/>
    <n v="76"/>
    <n v="0"/>
    <n v="0"/>
    <n v="0"/>
    <n v="0"/>
    <n v="0"/>
    <n v="0"/>
    <n v="0"/>
    <n v="0"/>
    <n v="0"/>
    <n v="1088116"/>
    <x v="0"/>
    <s v="www.businessinsider.com"/>
    <n v="0"/>
    <n v="0"/>
    <n v="0"/>
    <n v="0"/>
    <n v="0"/>
    <n v="0"/>
    <n v="0"/>
    <n v="0"/>
    <n v="0"/>
    <n v="0"/>
    <n v="0"/>
    <n v="0"/>
    <n v="0"/>
  </r>
  <r>
    <x v="6"/>
    <s v="1584217-Trends Green-topnaturalmattresses.com"/>
    <n v="36"/>
    <n v="0"/>
    <n v="0"/>
    <n v="0"/>
    <n v="0"/>
    <n v="0"/>
    <n v="0"/>
    <n v="0"/>
    <n v="0"/>
    <n v="0"/>
    <n v="1584217"/>
    <x v="10"/>
    <s v="topnaturalmattresses.com"/>
    <n v="0"/>
    <n v="0"/>
    <n v="0"/>
    <n v="0"/>
    <n v="0"/>
    <n v="0"/>
    <n v="0"/>
    <n v="0"/>
    <n v="0"/>
    <n v="0"/>
    <n v="0"/>
    <n v="0"/>
    <n v="0"/>
  </r>
  <r>
    <x v="6"/>
    <s v="2284878-Tuck.com LLC-www.sleepfoundation.org/"/>
    <n v="30"/>
    <n v="0"/>
    <n v="0"/>
    <n v="0"/>
    <n v="0"/>
    <n v="0"/>
    <n v="0"/>
    <n v="0"/>
    <n v="0"/>
    <n v="0"/>
    <n v="2284878"/>
    <x v="11"/>
    <s v="www.sleepfoundation.org/"/>
    <n v="0"/>
    <n v="0"/>
    <n v="0"/>
    <n v="0"/>
    <n v="0"/>
    <n v="0"/>
    <n v="0"/>
    <n v="0"/>
    <n v="0"/>
    <n v="0"/>
    <n v="0"/>
    <n v="0"/>
    <n v="0"/>
  </r>
  <r>
    <x v="6"/>
    <s v="201285-12 Interactive LLC-www.perkspot.com"/>
    <n v="25"/>
    <n v="0"/>
    <n v="0"/>
    <n v="0"/>
    <n v="0"/>
    <n v="0"/>
    <n v="0"/>
    <n v="0"/>
    <n v="0"/>
    <n v="0"/>
    <n v="201285"/>
    <x v="5"/>
    <s v="www.perkspot.com"/>
    <n v="0"/>
    <n v="0"/>
    <n v="0"/>
    <n v="0"/>
    <n v="0"/>
    <n v="0"/>
    <n v="0"/>
    <n v="0"/>
    <n v="0"/>
    <n v="0"/>
    <n v="0"/>
    <n v="0"/>
    <n v="0"/>
  </r>
  <r>
    <x v="6"/>
    <s v="1773960-Tuck.com LLC-tuck.com"/>
    <n v="21"/>
    <n v="0"/>
    <n v="0"/>
    <n v="0"/>
    <n v="0"/>
    <n v="0"/>
    <n v="0"/>
    <n v="0"/>
    <n v="0"/>
    <n v="0"/>
    <n v="1773960"/>
    <x v="11"/>
    <s v="tuck.com"/>
    <n v="0"/>
    <n v="0"/>
    <n v="0"/>
    <n v="0"/>
    <n v="0"/>
    <n v="0"/>
    <n v="0"/>
    <n v="0"/>
    <n v="0"/>
    <n v="0"/>
    <n v="0"/>
    <n v="0"/>
    <n v="0"/>
  </r>
  <r>
    <x v="6"/>
    <s v="389818-VigLink Inc.-www.viglink.com"/>
    <n v="20"/>
    <n v="0"/>
    <n v="0"/>
    <n v="0"/>
    <n v="0"/>
    <n v="0"/>
    <n v="0"/>
    <n v="0"/>
    <n v="0"/>
    <n v="0"/>
    <n v="389818"/>
    <x v="15"/>
    <s v="www.viglink.com"/>
    <n v="0"/>
    <n v="0"/>
    <n v="0"/>
    <n v="0"/>
    <n v="0"/>
    <n v="0"/>
    <n v="0"/>
    <n v="0"/>
    <n v="0"/>
    <n v="0"/>
    <n v="0"/>
    <n v="0"/>
    <n v="0"/>
  </r>
  <r>
    <x v="6"/>
    <s v="445875-Demand.io-knoji.com"/>
    <n v="10"/>
    <n v="0"/>
    <n v="0"/>
    <n v="0"/>
    <n v="0"/>
    <n v="0"/>
    <n v="0"/>
    <n v="0"/>
    <n v="0"/>
    <n v="0"/>
    <n v="445875"/>
    <x v="6"/>
    <s v="knoji.com"/>
    <n v="0"/>
    <n v="0"/>
    <n v="0"/>
    <n v="0"/>
    <n v="0"/>
    <n v="0"/>
    <n v="0"/>
    <n v="0"/>
    <n v="0"/>
    <n v="0"/>
    <n v="0"/>
    <n v="0"/>
    <n v="0"/>
  </r>
  <r>
    <x v="6"/>
    <s v="1014069-Mutzel Nutrition LLC-highintensityhealth.com/"/>
    <n v="10"/>
    <n v="0"/>
    <n v="0"/>
    <n v="0"/>
    <n v="0"/>
    <n v="0"/>
    <n v="0"/>
    <n v="0"/>
    <n v="0"/>
    <n v="0"/>
    <n v="1014069"/>
    <x v="14"/>
    <s v="highintensityhealth.com/"/>
    <n v="0"/>
    <n v="0"/>
    <n v="0"/>
    <n v="0"/>
    <n v="0"/>
    <n v="0"/>
    <n v="0"/>
    <n v="0"/>
    <n v="0"/>
    <n v="0"/>
    <n v="0"/>
    <n v="0"/>
    <n v="0"/>
  </r>
  <r>
    <x v="6"/>
    <s v="1772040-Meredith Corporation-www.realsimple.com/"/>
    <n v="10"/>
    <n v="0"/>
    <n v="0"/>
    <n v="0"/>
    <n v="0"/>
    <n v="0"/>
    <n v="0"/>
    <n v="0"/>
    <n v="0"/>
    <n v="0"/>
    <n v="1772040"/>
    <x v="17"/>
    <s v="www.realsimple.com/"/>
    <n v="0"/>
    <n v="0"/>
    <n v="0"/>
    <n v="0"/>
    <n v="0"/>
    <n v="0"/>
    <n v="0"/>
    <n v="0"/>
    <n v="0"/>
    <n v="0"/>
    <n v="0"/>
    <n v="0"/>
    <n v="0"/>
  </r>
  <r>
    <x v="6"/>
    <s v="2029250-CNN Interactive Group-www.cnn.com/cnn-underscored/"/>
    <n v="6"/>
    <n v="0"/>
    <n v="0"/>
    <n v="0"/>
    <n v="0"/>
    <n v="0"/>
    <n v="0"/>
    <n v="0"/>
    <n v="0"/>
    <n v="0"/>
    <n v="2029250"/>
    <x v="41"/>
    <s v="www.cnn.com/cnn-underscored/"/>
    <n v="0"/>
    <n v="0"/>
    <n v="0"/>
    <n v="0"/>
    <n v="0"/>
    <n v="0"/>
    <n v="0"/>
    <n v="0"/>
    <n v="0"/>
    <n v="0"/>
    <n v="0"/>
    <n v="0"/>
    <n v="0"/>
  </r>
  <r>
    <x v="6"/>
    <s v="2243506-Pannon Digital Ltd-www.weightedblanketguides.com/"/>
    <n v="6"/>
    <n v="0"/>
    <n v="0"/>
    <n v="0"/>
    <n v="0"/>
    <n v="0"/>
    <n v="0"/>
    <n v="0"/>
    <n v="0"/>
    <n v="0"/>
    <n v="2243506"/>
    <x v="20"/>
    <s v="www.weightedblanketguides.com/"/>
    <n v="0"/>
    <n v="0"/>
    <n v="0"/>
    <n v="0"/>
    <n v="0"/>
    <n v="0"/>
    <n v="0"/>
    <n v="0"/>
    <n v="0"/>
    <n v="0"/>
    <n v="0"/>
    <n v="0"/>
    <n v="0"/>
  </r>
  <r>
    <x v="6"/>
    <s v="1413766-LinkGains (HK) Limited-www.hotdeals.com"/>
    <n v="5"/>
    <n v="0"/>
    <n v="0"/>
    <n v="0"/>
    <n v="0"/>
    <n v="0"/>
    <n v="0"/>
    <n v="0"/>
    <n v="0"/>
    <n v="0"/>
    <n v="1413766"/>
    <x v="16"/>
    <s v="www.hotdeals.com"/>
    <n v="0"/>
    <n v="0"/>
    <n v="0"/>
    <n v="0"/>
    <n v="0"/>
    <n v="0"/>
    <n v="0"/>
    <n v="0"/>
    <n v="0"/>
    <n v="0"/>
    <n v="0"/>
    <n v="0"/>
    <n v="0"/>
  </r>
  <r>
    <x v="6"/>
    <s v="2053730-WW Affiliate-www.yourbestmattress247.com"/>
    <n v="5"/>
    <n v="0"/>
    <n v="0"/>
    <n v="0"/>
    <n v="0"/>
    <n v="0"/>
    <n v="0"/>
    <n v="0"/>
    <n v="0"/>
    <n v="0"/>
    <n v="2053730"/>
    <x v="12"/>
    <s v="www.yourbestmattress247.com"/>
    <n v="0"/>
    <n v="0"/>
    <n v="0"/>
    <n v="0"/>
    <n v="0"/>
    <n v="0"/>
    <n v="0"/>
    <n v="0"/>
    <n v="0"/>
    <n v="0"/>
    <n v="0"/>
    <n v="0"/>
    <n v="0"/>
  </r>
  <r>
    <x v="6"/>
    <s v="1238556-YIELDKIT GmbH-yieldkit.com"/>
    <n v="4"/>
    <n v="0"/>
    <n v="0"/>
    <n v="0"/>
    <n v="0"/>
    <n v="0"/>
    <n v="0"/>
    <n v="0"/>
    <n v="0"/>
    <n v="0"/>
    <n v="1238556"/>
    <x v="3"/>
    <s v="yieldkit.com"/>
    <n v="0"/>
    <n v="0"/>
    <n v="0"/>
    <n v="0"/>
    <n v="0"/>
    <n v="0"/>
    <n v="0"/>
    <n v="0"/>
    <n v="0"/>
    <n v="0"/>
    <n v="0"/>
    <n v="0"/>
    <n v="0"/>
  </r>
  <r>
    <x v="6"/>
    <s v="514792-CBS Interactive Inc.-www.cnet.com"/>
    <n v="3"/>
    <n v="0"/>
    <n v="0"/>
    <n v="0"/>
    <n v="0"/>
    <n v="0"/>
    <n v="0"/>
    <n v="0"/>
    <n v="0"/>
    <n v="0"/>
    <n v="514792"/>
    <x v="19"/>
    <s v="www.cnet.com"/>
    <n v="0"/>
    <n v="0"/>
    <n v="0"/>
    <n v="0"/>
    <n v="0"/>
    <n v="0"/>
    <n v="0"/>
    <n v="0"/>
    <n v="0"/>
    <n v="0"/>
    <n v="0"/>
    <n v="0"/>
    <n v="0"/>
  </r>
  <r>
    <x v="6"/>
    <s v="745788-digidip GmbH-digidip.net"/>
    <n v="3"/>
    <n v="0"/>
    <n v="0"/>
    <n v="0"/>
    <n v="0"/>
    <n v="0"/>
    <n v="0"/>
    <n v="0"/>
    <n v="0"/>
    <n v="0"/>
    <n v="745788"/>
    <x v="18"/>
    <s v="digidip.net"/>
    <n v="0"/>
    <n v="0"/>
    <n v="0"/>
    <n v="0"/>
    <n v="0"/>
    <n v="0"/>
    <n v="0"/>
    <n v="0"/>
    <n v="0"/>
    <n v="0"/>
    <n v="0"/>
    <n v="0"/>
    <n v="0"/>
  </r>
  <r>
    <x v="6"/>
    <s v="1242889-RIZKNOWS LLC-www.rizknows.com"/>
    <n v="3"/>
    <n v="0"/>
    <n v="0"/>
    <n v="0"/>
    <n v="0"/>
    <n v="0"/>
    <n v="0"/>
    <n v="0"/>
    <n v="0"/>
    <n v="0"/>
    <n v="1242889"/>
    <x v="25"/>
    <s v="www.rizknows.com"/>
    <n v="0"/>
    <n v="0"/>
    <n v="0"/>
    <n v="0"/>
    <n v="0"/>
    <n v="0"/>
    <n v="0"/>
    <n v="0"/>
    <n v="0"/>
    <n v="0"/>
    <n v="0"/>
    <n v="0"/>
    <n v="0"/>
  </r>
  <r>
    <x v="6"/>
    <s v="1936146-J &amp;amp; J Reviews LLC-aslreviews.com"/>
    <n v="3"/>
    <n v="0"/>
    <n v="0"/>
    <n v="0"/>
    <n v="0"/>
    <n v="0"/>
    <n v="0"/>
    <n v="0"/>
    <n v="0"/>
    <n v="0"/>
    <n v="1936146"/>
    <x v="65"/>
    <s v="aslreviews.com"/>
    <n v="0"/>
    <n v="0"/>
    <n v="0"/>
    <n v="0"/>
    <n v="0"/>
    <n v="0"/>
    <n v="0"/>
    <n v="0"/>
    <n v="0"/>
    <n v="0"/>
    <n v="0"/>
    <n v="0"/>
    <n v="0"/>
  </r>
  <r>
    <x v="6"/>
    <s v="154911-CouponCabin LLC-www.couponcabin.com"/>
    <n v="2"/>
    <n v="0"/>
    <n v="0"/>
    <n v="0"/>
    <n v="0"/>
    <n v="0"/>
    <n v="0"/>
    <n v="0"/>
    <n v="0"/>
    <n v="0"/>
    <n v="154911"/>
    <x v="21"/>
    <s v="www.couponcabin.com"/>
    <n v="0"/>
    <n v="0"/>
    <n v="0"/>
    <n v="0"/>
    <n v="0"/>
    <n v="0"/>
    <n v="0"/>
    <n v="0"/>
    <n v="0"/>
    <n v="0"/>
    <n v="0"/>
    <n v="0"/>
    <n v="0"/>
  </r>
  <r>
    <x v="6"/>
    <s v="213636-SurfMyAds.com-www.promocodes.com"/>
    <n v="2"/>
    <n v="0"/>
    <n v="0"/>
    <n v="0"/>
    <n v="0"/>
    <n v="0"/>
    <n v="0"/>
    <n v="0"/>
    <n v="0"/>
    <n v="0"/>
    <n v="213636"/>
    <x v="22"/>
    <s v="www.promocodes.com"/>
    <n v="0"/>
    <n v="0"/>
    <n v="0"/>
    <n v="0"/>
    <n v="0"/>
    <n v="0"/>
    <n v="0"/>
    <n v="0"/>
    <n v="0"/>
    <n v="0"/>
    <n v="0"/>
    <n v="0"/>
    <n v="0"/>
  </r>
  <r>
    <x v="6"/>
    <s v="742098-adgoal GmbH-www.adgoal.net"/>
    <n v="2"/>
    <n v="0"/>
    <n v="0"/>
    <n v="0"/>
    <n v="0"/>
    <n v="0"/>
    <n v="0"/>
    <n v="0"/>
    <n v="0"/>
    <n v="0"/>
    <n v="742098"/>
    <x v="23"/>
    <s v="www.adgoal.net"/>
    <n v="0"/>
    <n v="0"/>
    <n v="0"/>
    <n v="0"/>
    <n v="0"/>
    <n v="0"/>
    <n v="0"/>
    <n v="0"/>
    <n v="0"/>
    <n v="0"/>
    <n v="0"/>
    <n v="0"/>
    <n v="0"/>
  </r>
  <r>
    <x v="6"/>
    <s v="1140999-Chichihaha Limited-www.couponbirds.com"/>
    <n v="2"/>
    <n v="0"/>
    <n v="0"/>
    <n v="0"/>
    <n v="0"/>
    <n v="0"/>
    <n v="0"/>
    <n v="0"/>
    <n v="0"/>
    <n v="0"/>
    <n v="1140999"/>
    <x v="40"/>
    <s v="www.couponbirds.com"/>
    <n v="0"/>
    <n v="0"/>
    <n v="0"/>
    <n v="0"/>
    <n v="0"/>
    <n v="0"/>
    <n v="0"/>
    <n v="0"/>
    <n v="0"/>
    <n v="0"/>
    <n v="0"/>
    <n v="0"/>
    <n v="0"/>
  </r>
  <r>
    <x v="6"/>
    <s v="1663605-GSG North America LLC-coupons.businessinsider.com/"/>
    <n v="2"/>
    <n v="0"/>
    <n v="0"/>
    <n v="0"/>
    <n v="0"/>
    <n v="0"/>
    <n v="0"/>
    <n v="0"/>
    <n v="0"/>
    <n v="0"/>
    <n v="1663605"/>
    <x v="47"/>
    <s v="coupons.businessinsider.com/"/>
    <n v="0"/>
    <n v="0"/>
    <n v="0"/>
    <n v="0"/>
    <n v="0"/>
    <n v="0"/>
    <n v="0"/>
    <n v="0"/>
    <n v="0"/>
    <n v="0"/>
    <n v="0"/>
    <n v="0"/>
    <n v="0"/>
  </r>
  <r>
    <x v="6"/>
    <s v="1869309-Mattress Media LLC.-mattressnerd.com"/>
    <n v="2"/>
    <n v="0"/>
    <n v="0"/>
    <n v="0"/>
    <n v="0"/>
    <n v="0"/>
    <n v="0"/>
    <n v="0"/>
    <n v="0"/>
    <n v="0"/>
    <n v="1869309"/>
    <x v="57"/>
    <s v="mattressnerd.com"/>
    <n v="0"/>
    <n v="0"/>
    <n v="0"/>
    <n v="0"/>
    <n v="0"/>
    <n v="0"/>
    <n v="0"/>
    <n v="0"/>
    <n v="0"/>
    <n v="0"/>
    <n v="0"/>
    <n v="0"/>
    <n v="0"/>
  </r>
  <r>
    <x v="6"/>
    <s v="2007343-hadia mehmood-www.commonpointreview.com"/>
    <n v="2"/>
    <n v="0"/>
    <n v="0"/>
    <n v="0"/>
    <n v="0"/>
    <n v="0"/>
    <n v="0"/>
    <n v="0"/>
    <n v="0"/>
    <n v="0"/>
    <n v="2007343"/>
    <x v="66"/>
    <s v="www.commonpointreview.com"/>
    <n v="0"/>
    <n v="0"/>
    <n v="0"/>
    <n v="0"/>
    <n v="0"/>
    <n v="0"/>
    <n v="0"/>
    <n v="0"/>
    <n v="0"/>
    <n v="0"/>
    <n v="0"/>
    <n v="0"/>
    <n v="0"/>
  </r>
  <r>
    <x v="6"/>
    <s v="2159987-HiSensitives-hisensitives.com"/>
    <n v="2"/>
    <n v="0"/>
    <n v="0"/>
    <n v="0"/>
    <n v="0"/>
    <n v="0"/>
    <n v="0"/>
    <n v="0"/>
    <n v="0"/>
    <n v="0"/>
    <n v="2159987"/>
    <x v="39"/>
    <s v="hisensitives.com"/>
    <n v="0"/>
    <n v="0"/>
    <n v="0"/>
    <n v="0"/>
    <n v="0"/>
    <n v="0"/>
    <n v="0"/>
    <n v="0"/>
    <n v="0"/>
    <n v="0"/>
    <n v="0"/>
    <n v="0"/>
    <n v="0"/>
  </r>
  <r>
    <x v="6"/>
    <s v="2364026-OutWork24-fallingasleep.net"/>
    <n v="2"/>
    <n v="0"/>
    <n v="0"/>
    <n v="0"/>
    <n v="0"/>
    <n v="0"/>
    <n v="0"/>
    <n v="0"/>
    <n v="0"/>
    <n v="0"/>
    <n v="2364026"/>
    <x v="67"/>
    <s v="fallingasleep.net"/>
    <n v="0"/>
    <n v="0"/>
    <n v="0"/>
    <n v="0"/>
    <n v="0"/>
    <n v="0"/>
    <n v="0"/>
    <n v="0"/>
    <n v="0"/>
    <n v="0"/>
    <n v="0"/>
    <n v="0"/>
    <n v="0"/>
  </r>
  <r>
    <x v="6"/>
    <s v="318676-Capital Intellect Inc.-www.befrugal.com"/>
    <n v="1"/>
    <n v="0"/>
    <n v="0"/>
    <n v="0"/>
    <n v="0"/>
    <n v="0"/>
    <n v="0"/>
    <n v="0"/>
    <n v="0"/>
    <n v="0"/>
    <n v="318676"/>
    <x v="31"/>
    <s v="www.befrugal.com"/>
    <n v="0"/>
    <n v="0"/>
    <n v="0"/>
    <n v="0"/>
    <n v="0"/>
    <n v="0"/>
    <n v="0"/>
    <n v="0"/>
    <n v="0"/>
    <n v="0"/>
    <n v="0"/>
    <n v="0"/>
    <n v="0"/>
  </r>
  <r>
    <x v="6"/>
    <s v="1225169-Vox Media LLC-www.voxmedia.com/a/vm"/>
    <n v="1"/>
    <n v="0"/>
    <n v="0"/>
    <n v="0"/>
    <n v="0"/>
    <n v="0"/>
    <n v="0"/>
    <n v="0"/>
    <n v="0"/>
    <n v="0"/>
    <n v="1225169"/>
    <x v="24"/>
    <s v="www.voxmedia.com/a/vm"/>
    <n v="0"/>
    <n v="0"/>
    <n v="0"/>
    <n v="0"/>
    <n v="0"/>
    <n v="0"/>
    <n v="0"/>
    <n v="0"/>
    <n v="0"/>
    <n v="0"/>
    <n v="0"/>
    <n v="0"/>
    <n v="0"/>
  </r>
  <r>
    <x v="6"/>
    <s v="1372745-SavvyShop-savvyshopworld.com"/>
    <n v="1"/>
    <n v="0"/>
    <n v="0"/>
    <n v="0"/>
    <n v="0"/>
    <n v="0"/>
    <n v="0"/>
    <n v="0"/>
    <n v="0"/>
    <n v="0"/>
    <n v="1372745"/>
    <x v="4"/>
    <s v="savvyshopworld.com"/>
    <n v="0"/>
    <n v="0"/>
    <n v="0"/>
    <n v="0"/>
    <n v="0"/>
    <n v="0"/>
    <n v="0"/>
    <n v="0"/>
    <n v="0"/>
    <n v="0"/>
    <n v="0"/>
    <n v="0"/>
    <n v="0"/>
  </r>
  <r>
    <x v="6"/>
    <s v="1578665-Mattress Advisor LLC-sleepopolis.com"/>
    <n v="1"/>
    <n v="0"/>
    <n v="0"/>
    <n v="0"/>
    <n v="0"/>
    <n v="0"/>
    <n v="0"/>
    <n v="0"/>
    <n v="0"/>
    <n v="0"/>
    <n v="1578665"/>
    <x v="27"/>
    <s v="sleepopolis.com"/>
    <n v="0"/>
    <n v="0"/>
    <n v="0"/>
    <n v="0"/>
    <n v="0"/>
    <n v="0"/>
    <n v="0"/>
    <n v="0"/>
    <n v="0"/>
    <n v="0"/>
    <n v="0"/>
    <n v="0"/>
    <n v="0"/>
  </r>
  <r>
    <x v="6"/>
    <s v="2075116-Arif Bilal-www.fivestarcoupon.com/"/>
    <n v="1"/>
    <n v="0"/>
    <n v="0"/>
    <n v="0"/>
    <n v="0"/>
    <n v="0"/>
    <n v="0"/>
    <n v="0"/>
    <n v="0"/>
    <n v="0"/>
    <n v="2075116"/>
    <x v="50"/>
    <s v="www.fivestarcoupon.com/"/>
    <n v="0"/>
    <n v="0"/>
    <n v="0"/>
    <n v="0"/>
    <n v="0"/>
    <n v="0"/>
    <n v="0"/>
    <n v="0"/>
    <n v="0"/>
    <n v="0"/>
    <n v="0"/>
    <n v="0"/>
    <n v="0"/>
  </r>
  <r>
    <x v="6"/>
    <s v="2134380-naeem mohammad-www.simplecodez.com/"/>
    <n v="1"/>
    <n v="0"/>
    <n v="0"/>
    <n v="0"/>
    <n v="0"/>
    <n v="0"/>
    <n v="0"/>
    <n v="0"/>
    <n v="0"/>
    <n v="0"/>
    <n v="2134380"/>
    <x v="68"/>
    <s v="www.simplecodez.com/"/>
    <n v="0"/>
    <n v="0"/>
    <n v="0"/>
    <n v="0"/>
    <n v="0"/>
    <n v="0"/>
    <n v="0"/>
    <n v="0"/>
    <n v="0"/>
    <n v="0"/>
    <n v="0"/>
    <n v="0"/>
    <n v="0"/>
  </r>
  <r>
    <x v="6"/>
    <s v="2182271-Promo Codes Guide LLC-www.promocodes.guide"/>
    <n v="1"/>
    <n v="0"/>
    <n v="0"/>
    <n v="0"/>
    <n v="0"/>
    <n v="0"/>
    <n v="0"/>
    <n v="0"/>
    <n v="0"/>
    <n v="0"/>
    <n v="2182271"/>
    <x v="2"/>
    <s v="www.promocodes.guide"/>
    <n v="0"/>
    <n v="0"/>
    <n v="0"/>
    <n v="0"/>
    <n v="0"/>
    <n v="0"/>
    <n v="0"/>
    <n v="0"/>
    <n v="0"/>
    <n v="0"/>
    <n v="0"/>
    <n v="0"/>
    <n v="0"/>
  </r>
  <r>
    <x v="6"/>
    <s v="2316883-HigherDOSE LLC-higherdose.com/"/>
    <n v="1"/>
    <n v="0"/>
    <n v="0"/>
    <n v="0"/>
    <n v="0"/>
    <n v="0"/>
    <n v="0"/>
    <n v="0"/>
    <n v="0"/>
    <n v="0"/>
    <n v="2316883"/>
    <x v="58"/>
    <s v="higherdose.com/"/>
    <n v="0"/>
    <n v="0"/>
    <n v="0"/>
    <n v="0"/>
    <n v="0"/>
    <n v="0"/>
    <n v="0"/>
    <n v="0"/>
    <n v="0"/>
    <n v="0"/>
    <n v="0"/>
    <n v="0"/>
    <n v="0"/>
  </r>
  <r>
    <x v="7"/>
    <s v="314743-Skimbit Ltd-skimlinks.com"/>
    <n v="94"/>
    <n v="754"/>
    <n v="0"/>
    <n v="754"/>
    <n v="3"/>
    <n v="0"/>
    <n v="113.1"/>
    <n v="3.19"/>
    <n v="120.32"/>
    <n v="251.33"/>
    <n v="314743"/>
    <x v="9"/>
    <s v="skimlinks.com"/>
    <n v="3"/>
    <n v="0"/>
    <n v="0"/>
    <n v="0"/>
    <n v="0"/>
    <n v="0"/>
    <n v="113.1"/>
    <n v="0"/>
    <n v="0"/>
    <n v="0"/>
    <n v="0"/>
    <n v="0"/>
    <n v="22.63"/>
  </r>
  <r>
    <x v="7"/>
    <s v="1663605-GSG North America LLC-coupons.businessinsider.com/"/>
    <n v="3"/>
    <n v="309.39999999999998"/>
    <n v="0"/>
    <n v="309.39999999999998"/>
    <n v="1"/>
    <n v="0"/>
    <n v="30.94"/>
    <n v="33.33"/>
    <n v="1031.33"/>
    <n v="309.39999999999998"/>
    <n v="1663605"/>
    <x v="47"/>
    <s v="coupons.businessinsider.com/"/>
    <n v="1"/>
    <n v="0"/>
    <n v="0"/>
    <n v="0"/>
    <n v="0"/>
    <n v="0"/>
    <n v="30.94"/>
    <n v="0"/>
    <n v="0"/>
    <n v="0"/>
    <n v="0"/>
    <n v="0"/>
    <n v="6.19"/>
  </r>
  <r>
    <x v="7"/>
    <s v="2284878-Tuck.com LLC-www.sleepfoundation.org/"/>
    <n v="10"/>
    <n v="189"/>
    <n v="0"/>
    <n v="189"/>
    <n v="1"/>
    <n v="0"/>
    <n v="37.799999999999997"/>
    <n v="10"/>
    <n v="378"/>
    <n v="189"/>
    <n v="2284878"/>
    <x v="11"/>
    <s v="www.sleepfoundation.org/"/>
    <n v="1"/>
    <n v="0"/>
    <n v="0"/>
    <n v="0"/>
    <n v="0"/>
    <n v="0"/>
    <n v="37.799999999999997"/>
    <n v="0"/>
    <n v="0"/>
    <n v="0"/>
    <n v="0"/>
    <n v="0"/>
    <n v="7.56"/>
  </r>
  <r>
    <x v="7"/>
    <s v="201285-12 Interactive LLC-www.perkspot.com"/>
    <n v="21"/>
    <n v="178.88"/>
    <n v="0"/>
    <n v="178.88"/>
    <n v="1"/>
    <n v="0"/>
    <n v="5.37"/>
    <n v="4.76"/>
    <n v="25.57"/>
    <n v="178.88"/>
    <n v="201285"/>
    <x v="5"/>
    <s v="www.perkspot.com"/>
    <n v="1"/>
    <n v="0"/>
    <n v="0"/>
    <n v="0"/>
    <n v="0"/>
    <n v="0"/>
    <n v="5.37"/>
    <n v="0"/>
    <n v="0"/>
    <n v="0"/>
    <n v="0"/>
    <n v="0"/>
    <n v="1.07"/>
  </r>
  <r>
    <x v="7"/>
    <s v="1088116-Business Insider Inc.-www.businessinsider.com"/>
    <n v="76"/>
    <n v="163.16999999999999"/>
    <n v="0"/>
    <n v="163.16999999999999"/>
    <n v="1"/>
    <n v="0"/>
    <n v="32.630000000000003"/>
    <n v="1.32"/>
    <n v="42.93"/>
    <n v="163.16999999999999"/>
    <n v="1088116"/>
    <x v="0"/>
    <s v="www.businessinsider.com"/>
    <n v="1"/>
    <n v="0"/>
    <n v="0"/>
    <n v="0"/>
    <n v="0"/>
    <n v="0"/>
    <n v="32.630000000000003"/>
    <n v="0"/>
    <n v="0"/>
    <n v="0"/>
    <n v="0"/>
    <n v="0"/>
    <n v="6.53"/>
  </r>
  <r>
    <x v="7"/>
    <s v="389818-VigLink Inc.-www.viglink.com"/>
    <n v="36"/>
    <n v="139.30000000000001"/>
    <n v="0"/>
    <n v="139.30000000000001"/>
    <n v="1"/>
    <n v="0"/>
    <n v="4.18"/>
    <n v="2.78"/>
    <n v="11.61"/>
    <n v="139.30000000000001"/>
    <n v="389818"/>
    <x v="15"/>
    <s v="www.viglink.com"/>
    <n v="1"/>
    <n v="0"/>
    <n v="0"/>
    <n v="0"/>
    <n v="0"/>
    <n v="0"/>
    <n v="4.18"/>
    <n v="0"/>
    <n v="0"/>
    <n v="0"/>
    <n v="0"/>
    <n v="0"/>
    <n v="0.84"/>
  </r>
  <r>
    <x v="7"/>
    <s v="445875-Demand.io-knoji.com"/>
    <n v="5"/>
    <n v="138.38"/>
    <n v="0"/>
    <n v="138.38"/>
    <n v="1"/>
    <n v="0"/>
    <n v="4.1500000000000004"/>
    <n v="20"/>
    <n v="83"/>
    <n v="138.38"/>
    <n v="445875"/>
    <x v="6"/>
    <s v="knoji.com"/>
    <n v="1"/>
    <n v="0"/>
    <n v="0"/>
    <n v="0"/>
    <n v="0"/>
    <n v="0"/>
    <n v="4.1500000000000004"/>
    <n v="0"/>
    <n v="0"/>
    <n v="0"/>
    <n v="0"/>
    <n v="0"/>
    <n v="0.83"/>
  </r>
  <r>
    <x v="7"/>
    <s v="725033-ID.me Inc.-shop.id.me"/>
    <n v="46"/>
    <n v="0"/>
    <n v="0"/>
    <n v="0"/>
    <n v="0"/>
    <n v="0"/>
    <n v="0"/>
    <n v="0"/>
    <n v="0"/>
    <n v="0"/>
    <n v="725033"/>
    <x v="1"/>
    <s v="shop.id.me"/>
    <n v="0"/>
    <n v="0"/>
    <n v="0"/>
    <n v="0"/>
    <n v="0"/>
    <n v="0"/>
    <n v="0"/>
    <n v="0"/>
    <n v="0"/>
    <n v="0"/>
    <n v="0"/>
    <n v="0"/>
    <n v="0"/>
  </r>
  <r>
    <x v="7"/>
    <s v="1584217-Trends Green-topnaturalmattresses.com"/>
    <n v="35"/>
    <n v="0"/>
    <n v="0"/>
    <n v="0"/>
    <n v="0"/>
    <n v="0"/>
    <n v="0"/>
    <n v="0"/>
    <n v="0"/>
    <n v="0"/>
    <n v="1584217"/>
    <x v="10"/>
    <s v="topnaturalmattresses.com"/>
    <n v="0"/>
    <n v="0"/>
    <n v="0"/>
    <n v="0"/>
    <n v="0"/>
    <n v="0"/>
    <n v="0"/>
    <n v="0"/>
    <n v="0"/>
    <n v="0"/>
    <n v="0"/>
    <n v="0"/>
    <n v="0"/>
  </r>
  <r>
    <x v="7"/>
    <s v="1773960-Tuck.com LLC-tuck.com"/>
    <n v="28"/>
    <n v="0"/>
    <n v="0"/>
    <n v="0"/>
    <n v="0"/>
    <n v="0"/>
    <n v="0"/>
    <n v="0"/>
    <n v="0"/>
    <n v="0"/>
    <n v="1773960"/>
    <x v="11"/>
    <s v="tuck.com"/>
    <n v="0"/>
    <n v="0"/>
    <n v="0"/>
    <n v="0"/>
    <n v="0"/>
    <n v="0"/>
    <n v="0"/>
    <n v="0"/>
    <n v="0"/>
    <n v="0"/>
    <n v="0"/>
    <n v="0"/>
    <n v="0"/>
  </r>
  <r>
    <x v="7"/>
    <s v="2053730-WW Affiliate-www.yourbestmattress247.com"/>
    <n v="25"/>
    <n v="0"/>
    <n v="0"/>
    <n v="0"/>
    <n v="0"/>
    <n v="0"/>
    <n v="0"/>
    <n v="0"/>
    <n v="0"/>
    <n v="0"/>
    <n v="2053730"/>
    <x v="12"/>
    <s v="www.yourbestmattress247.com"/>
    <n v="0"/>
    <n v="0"/>
    <n v="0"/>
    <n v="0"/>
    <n v="0"/>
    <n v="0"/>
    <n v="0"/>
    <n v="0"/>
    <n v="0"/>
    <n v="0"/>
    <n v="0"/>
    <n v="0"/>
    <n v="0"/>
  </r>
  <r>
    <x v="7"/>
    <s v="748814-Reviewed.com-www.reviewed.com"/>
    <n v="17"/>
    <n v="0"/>
    <n v="0"/>
    <n v="0"/>
    <n v="0"/>
    <n v="0"/>
    <n v="0"/>
    <n v="0"/>
    <n v="0"/>
    <n v="0"/>
    <n v="748814"/>
    <x v="13"/>
    <s v="www.reviewed.com"/>
    <n v="0"/>
    <n v="0"/>
    <n v="0"/>
    <n v="0"/>
    <n v="0"/>
    <n v="0"/>
    <n v="0"/>
    <n v="0"/>
    <n v="0"/>
    <n v="0"/>
    <n v="0"/>
    <n v="0"/>
    <n v="0"/>
  </r>
  <r>
    <x v="7"/>
    <s v="140995-Savings.com Inc-www.savings.com"/>
    <n v="6"/>
    <n v="0"/>
    <n v="0"/>
    <n v="0"/>
    <n v="0"/>
    <n v="0"/>
    <n v="0"/>
    <n v="0"/>
    <n v="0"/>
    <n v="0"/>
    <n v="140995"/>
    <x v="7"/>
    <s v="www.savings.com"/>
    <n v="0"/>
    <n v="0"/>
    <n v="0"/>
    <n v="0"/>
    <n v="0"/>
    <n v="0"/>
    <n v="0"/>
    <n v="0"/>
    <n v="0"/>
    <n v="0"/>
    <n v="0"/>
    <n v="0"/>
    <n v="0"/>
  </r>
  <r>
    <x v="7"/>
    <s v="1413766-LinkGains (HK) Limited-www.hotdeals.com"/>
    <n v="6"/>
    <n v="0"/>
    <n v="0"/>
    <n v="0"/>
    <n v="0"/>
    <n v="0"/>
    <n v="0"/>
    <n v="0"/>
    <n v="0"/>
    <n v="0"/>
    <n v="1413766"/>
    <x v="16"/>
    <s v="www.hotdeals.com"/>
    <n v="0"/>
    <n v="0"/>
    <n v="0"/>
    <n v="0"/>
    <n v="0"/>
    <n v="0"/>
    <n v="0"/>
    <n v="0"/>
    <n v="0"/>
    <n v="0"/>
    <n v="0"/>
    <n v="0"/>
    <n v="0"/>
  </r>
  <r>
    <x v="7"/>
    <s v="1772040-Meredith Corporation-www.realsimple.com/"/>
    <n v="6"/>
    <n v="0"/>
    <n v="0"/>
    <n v="0"/>
    <n v="0"/>
    <n v="0"/>
    <n v="0"/>
    <n v="0"/>
    <n v="0"/>
    <n v="0"/>
    <n v="1772040"/>
    <x v="17"/>
    <s v="www.realsimple.com/"/>
    <n v="0"/>
    <n v="0"/>
    <n v="0"/>
    <n v="0"/>
    <n v="0"/>
    <n v="0"/>
    <n v="0"/>
    <n v="0"/>
    <n v="0"/>
    <n v="0"/>
    <n v="0"/>
    <n v="0"/>
    <n v="0"/>
  </r>
  <r>
    <x v="7"/>
    <s v="514792-CBS Interactive Inc.-www.cnet.com"/>
    <n v="5"/>
    <n v="0"/>
    <n v="0"/>
    <n v="0"/>
    <n v="0"/>
    <n v="0"/>
    <n v="0"/>
    <n v="0"/>
    <n v="0"/>
    <n v="0"/>
    <n v="514792"/>
    <x v="19"/>
    <s v="www.cnet.com"/>
    <n v="0"/>
    <n v="0"/>
    <n v="0"/>
    <n v="0"/>
    <n v="0"/>
    <n v="0"/>
    <n v="0"/>
    <n v="0"/>
    <n v="0"/>
    <n v="0"/>
    <n v="0"/>
    <n v="0"/>
    <n v="0"/>
  </r>
  <r>
    <x v="7"/>
    <s v="745788-digidip GmbH-digidip.net"/>
    <n v="4"/>
    <n v="0"/>
    <n v="0"/>
    <n v="0"/>
    <n v="0"/>
    <n v="0"/>
    <n v="0"/>
    <n v="0"/>
    <n v="0"/>
    <n v="0"/>
    <n v="745788"/>
    <x v="18"/>
    <s v="digidip.net"/>
    <n v="0"/>
    <n v="0"/>
    <n v="0"/>
    <n v="0"/>
    <n v="0"/>
    <n v="0"/>
    <n v="0"/>
    <n v="0"/>
    <n v="0"/>
    <n v="0"/>
    <n v="0"/>
    <n v="0"/>
    <n v="0"/>
  </r>
  <r>
    <x v="7"/>
    <s v="1014069-Mutzel Nutrition LLC-highintensityhealth.com/"/>
    <n v="4"/>
    <n v="0"/>
    <n v="0"/>
    <n v="0"/>
    <n v="0"/>
    <n v="0"/>
    <n v="0"/>
    <n v="0"/>
    <n v="0"/>
    <n v="0"/>
    <n v="1014069"/>
    <x v="14"/>
    <s v="highintensityhealth.com/"/>
    <n v="0"/>
    <n v="0"/>
    <n v="0"/>
    <n v="0"/>
    <n v="0"/>
    <n v="0"/>
    <n v="0"/>
    <n v="0"/>
    <n v="0"/>
    <n v="0"/>
    <n v="0"/>
    <n v="0"/>
    <n v="0"/>
  </r>
  <r>
    <x v="7"/>
    <s v="1225169-Vox Media LLC-www.voxmedia.com/a/vm"/>
    <n v="4"/>
    <n v="0"/>
    <n v="0"/>
    <n v="0"/>
    <n v="0"/>
    <n v="0"/>
    <n v="0"/>
    <n v="0"/>
    <n v="0"/>
    <n v="0"/>
    <n v="1225169"/>
    <x v="24"/>
    <s v="www.voxmedia.com/a/vm"/>
    <n v="0"/>
    <n v="0"/>
    <n v="0"/>
    <n v="0"/>
    <n v="0"/>
    <n v="0"/>
    <n v="0"/>
    <n v="0"/>
    <n v="0"/>
    <n v="0"/>
    <n v="0"/>
    <n v="0"/>
    <n v="0"/>
  </r>
  <r>
    <x v="7"/>
    <s v="1242889-RIZKNOWS LLC-www.rizknows.com"/>
    <n v="4"/>
    <n v="0"/>
    <n v="0"/>
    <n v="0"/>
    <n v="0"/>
    <n v="0"/>
    <n v="0"/>
    <n v="0"/>
    <n v="0"/>
    <n v="0"/>
    <n v="1242889"/>
    <x v="25"/>
    <s v="www.rizknows.com"/>
    <n v="0"/>
    <n v="0"/>
    <n v="0"/>
    <n v="0"/>
    <n v="0"/>
    <n v="0"/>
    <n v="0"/>
    <n v="0"/>
    <n v="0"/>
    <n v="0"/>
    <n v="0"/>
    <n v="0"/>
    <n v="0"/>
  </r>
  <r>
    <x v="7"/>
    <s v="1519404-Mariano Cordoba-marianocordoba.me"/>
    <n v="4"/>
    <n v="0"/>
    <n v="0"/>
    <n v="0"/>
    <n v="0"/>
    <n v="0"/>
    <n v="0"/>
    <n v="0"/>
    <n v="0"/>
    <n v="0"/>
    <n v="1519404"/>
    <x v="26"/>
    <s v="marianocordoba.me"/>
    <n v="0"/>
    <n v="0"/>
    <n v="0"/>
    <n v="0"/>
    <n v="0"/>
    <n v="0"/>
    <n v="0"/>
    <n v="0"/>
    <n v="0"/>
    <n v="0"/>
    <n v="0"/>
    <n v="0"/>
    <n v="0"/>
  </r>
  <r>
    <x v="7"/>
    <s v="136482-Vertive LLC (Offers.com LLC.)-offers.com"/>
    <n v="3"/>
    <n v="0"/>
    <n v="0"/>
    <n v="0"/>
    <n v="0"/>
    <n v="0"/>
    <n v="0"/>
    <n v="0"/>
    <n v="0"/>
    <n v="0"/>
    <n v="136482"/>
    <x v="8"/>
    <s v="offers.com"/>
    <n v="0"/>
    <n v="0"/>
    <n v="0"/>
    <n v="0"/>
    <n v="0"/>
    <n v="0"/>
    <n v="0"/>
    <n v="0"/>
    <n v="0"/>
    <n v="0"/>
    <n v="0"/>
    <n v="0"/>
    <n v="0"/>
  </r>
  <r>
    <x v="7"/>
    <s v="1238556-YIELDKIT GmbH-yieldkit.com"/>
    <n v="3"/>
    <n v="0"/>
    <n v="0"/>
    <n v="0"/>
    <n v="0"/>
    <n v="0"/>
    <n v="0"/>
    <n v="0"/>
    <n v="0"/>
    <n v="0"/>
    <n v="1238556"/>
    <x v="3"/>
    <s v="yieldkit.com"/>
    <n v="0"/>
    <n v="0"/>
    <n v="0"/>
    <n v="0"/>
    <n v="0"/>
    <n v="0"/>
    <n v="0"/>
    <n v="0"/>
    <n v="0"/>
    <n v="0"/>
    <n v="0"/>
    <n v="0"/>
    <n v="0"/>
  </r>
  <r>
    <x v="7"/>
    <s v="1372745-SavvyShop-savvyshopworld.com"/>
    <n v="3"/>
    <n v="0"/>
    <n v="0"/>
    <n v="0"/>
    <n v="0"/>
    <n v="0"/>
    <n v="0"/>
    <n v="0"/>
    <n v="0"/>
    <n v="0"/>
    <n v="1372745"/>
    <x v="4"/>
    <s v="savvyshopworld.com"/>
    <n v="0"/>
    <n v="0"/>
    <n v="0"/>
    <n v="0"/>
    <n v="0"/>
    <n v="0"/>
    <n v="0"/>
    <n v="0"/>
    <n v="0"/>
    <n v="0"/>
    <n v="0"/>
    <n v="0"/>
    <n v="0"/>
  </r>
  <r>
    <x v="7"/>
    <s v="193744-shareasaleaffnl@rmn.com-www.retailmenot.com"/>
    <n v="2"/>
    <n v="0"/>
    <n v="0"/>
    <n v="0"/>
    <n v="0"/>
    <n v="0"/>
    <n v="0"/>
    <n v="0"/>
    <n v="0"/>
    <n v="0"/>
    <n v="193744"/>
    <x v="30"/>
    <s v="www.retailmenot.com"/>
    <n v="0"/>
    <n v="0"/>
    <n v="0"/>
    <n v="0"/>
    <n v="0"/>
    <n v="0"/>
    <n v="0"/>
    <n v="0"/>
    <n v="0"/>
    <n v="0"/>
    <n v="0"/>
    <n v="0"/>
    <n v="0"/>
  </r>
  <r>
    <x v="7"/>
    <s v="742098-adgoal GmbH-www.adgoal.net"/>
    <n v="2"/>
    <n v="0"/>
    <n v="0"/>
    <n v="0"/>
    <n v="0"/>
    <n v="0"/>
    <n v="0"/>
    <n v="0"/>
    <n v="0"/>
    <n v="0"/>
    <n v="742098"/>
    <x v="23"/>
    <s v="www.adgoal.net"/>
    <n v="0"/>
    <n v="0"/>
    <n v="0"/>
    <n v="0"/>
    <n v="0"/>
    <n v="0"/>
    <n v="0"/>
    <n v="0"/>
    <n v="0"/>
    <n v="0"/>
    <n v="0"/>
    <n v="0"/>
    <n v="0"/>
  </r>
  <r>
    <x v="7"/>
    <s v="930703-Antifragile Fit-antifragile.fit"/>
    <n v="2"/>
    <n v="0"/>
    <n v="0"/>
    <n v="0"/>
    <n v="0"/>
    <n v="0"/>
    <n v="0"/>
    <n v="0"/>
    <n v="0"/>
    <n v="0"/>
    <n v="930703"/>
    <x v="43"/>
    <s v="antifragile.fit"/>
    <n v="0"/>
    <n v="0"/>
    <n v="0"/>
    <n v="0"/>
    <n v="0"/>
    <n v="0"/>
    <n v="0"/>
    <n v="0"/>
    <n v="0"/>
    <n v="0"/>
    <n v="0"/>
    <n v="0"/>
    <n v="0"/>
  </r>
  <r>
    <x v="7"/>
    <s v="1273061-BRAND REWARD (HONG KONG) LIMITED-www.brandreward.com/"/>
    <n v="2"/>
    <n v="0"/>
    <n v="0"/>
    <n v="0"/>
    <n v="0"/>
    <n v="0"/>
    <n v="0"/>
    <n v="0"/>
    <n v="0"/>
    <n v="0"/>
    <n v="1273061"/>
    <x v="33"/>
    <s v="www.brandreward.com/"/>
    <n v="0"/>
    <n v="0"/>
    <n v="0"/>
    <n v="0"/>
    <n v="0"/>
    <n v="0"/>
    <n v="0"/>
    <n v="0"/>
    <n v="0"/>
    <n v="0"/>
    <n v="0"/>
    <n v="0"/>
    <n v="0"/>
  </r>
  <r>
    <x v="7"/>
    <s v="1649859-Mattress Advisor-www.mattressadvisor.com/"/>
    <n v="2"/>
    <n v="0"/>
    <n v="0"/>
    <n v="0"/>
    <n v="0"/>
    <n v="0"/>
    <n v="0"/>
    <n v="0"/>
    <n v="0"/>
    <n v="0"/>
    <n v="1649859"/>
    <x v="69"/>
    <s v="www.mattressadvisor.com/"/>
    <n v="0"/>
    <n v="0"/>
    <n v="0"/>
    <n v="0"/>
    <n v="0"/>
    <n v="0"/>
    <n v="0"/>
    <n v="0"/>
    <n v="0"/>
    <n v="0"/>
    <n v="0"/>
    <n v="0"/>
    <n v="0"/>
  </r>
  <r>
    <x v="7"/>
    <s v="2059568-Dang Cong Hoang-couponupto.com/"/>
    <n v="2"/>
    <n v="0"/>
    <n v="0"/>
    <n v="0"/>
    <n v="0"/>
    <n v="0"/>
    <n v="0"/>
    <n v="0"/>
    <n v="0"/>
    <n v="0"/>
    <n v="2059568"/>
    <x v="60"/>
    <s v="couponupto.com/"/>
    <n v="0"/>
    <n v="0"/>
    <n v="0"/>
    <n v="0"/>
    <n v="0"/>
    <n v="0"/>
    <n v="0"/>
    <n v="0"/>
    <n v="0"/>
    <n v="0"/>
    <n v="0"/>
    <n v="0"/>
    <n v="0"/>
  </r>
  <r>
    <x v="7"/>
    <s v="2316883-HigherDOSE LLC-higherdose.com/"/>
    <n v="2"/>
    <n v="0"/>
    <n v="0"/>
    <n v="0"/>
    <n v="0"/>
    <n v="0"/>
    <n v="0"/>
    <n v="0"/>
    <n v="0"/>
    <n v="0"/>
    <n v="2316883"/>
    <x v="58"/>
    <s v="higherdose.com/"/>
    <n v="0"/>
    <n v="0"/>
    <n v="0"/>
    <n v="0"/>
    <n v="0"/>
    <n v="0"/>
    <n v="0"/>
    <n v="0"/>
    <n v="0"/>
    <n v="0"/>
    <n v="0"/>
    <n v="0"/>
    <n v="0"/>
  </r>
  <r>
    <x v="7"/>
    <s v="154911-CouponCabin LLC-www.couponcabin.com"/>
    <n v="1"/>
    <n v="0"/>
    <n v="0"/>
    <n v="0"/>
    <n v="0"/>
    <n v="0"/>
    <n v="0"/>
    <n v="0"/>
    <n v="0"/>
    <n v="0"/>
    <n v="154911"/>
    <x v="21"/>
    <s v="www.couponcabin.com"/>
    <n v="0"/>
    <n v="0"/>
    <n v="0"/>
    <n v="0"/>
    <n v="0"/>
    <n v="0"/>
    <n v="0"/>
    <n v="0"/>
    <n v="0"/>
    <n v="0"/>
    <n v="0"/>
    <n v="0"/>
    <n v="0"/>
  </r>
  <r>
    <x v="7"/>
    <s v="213636-SurfMyAds.com-www.promocodes.com"/>
    <n v="1"/>
    <n v="0"/>
    <n v="0"/>
    <n v="0"/>
    <n v="0"/>
    <n v="0"/>
    <n v="0"/>
    <n v="0"/>
    <n v="0"/>
    <n v="0"/>
    <n v="213636"/>
    <x v="22"/>
    <s v="www.promocodes.com"/>
    <n v="0"/>
    <n v="0"/>
    <n v="0"/>
    <n v="0"/>
    <n v="0"/>
    <n v="0"/>
    <n v="0"/>
    <n v="0"/>
    <n v="0"/>
    <n v="0"/>
    <n v="0"/>
    <n v="0"/>
    <n v="0"/>
  </r>
  <r>
    <x v="7"/>
    <s v="318676-Capital Intellect Inc.-www.befrugal.com"/>
    <n v="1"/>
    <n v="0"/>
    <n v="0"/>
    <n v="0"/>
    <n v="0"/>
    <n v="0"/>
    <n v="0"/>
    <n v="0"/>
    <n v="0"/>
    <n v="0"/>
    <n v="318676"/>
    <x v="31"/>
    <s v="www.befrugal.com"/>
    <n v="0"/>
    <n v="0"/>
    <n v="0"/>
    <n v="0"/>
    <n v="0"/>
    <n v="0"/>
    <n v="0"/>
    <n v="0"/>
    <n v="0"/>
    <n v="0"/>
    <n v="0"/>
    <n v="0"/>
    <n v="0"/>
  </r>
  <r>
    <x v="7"/>
    <s v="1140999-Chichihaha Limited-www.couponbirds.com"/>
    <n v="1"/>
    <n v="0"/>
    <n v="0"/>
    <n v="0"/>
    <n v="0"/>
    <n v="0"/>
    <n v="0"/>
    <n v="0"/>
    <n v="0"/>
    <n v="0"/>
    <n v="1140999"/>
    <x v="40"/>
    <s v="www.couponbirds.com"/>
    <n v="0"/>
    <n v="0"/>
    <n v="0"/>
    <n v="0"/>
    <n v="0"/>
    <n v="0"/>
    <n v="0"/>
    <n v="0"/>
    <n v="0"/>
    <n v="0"/>
    <n v="0"/>
    <n v="0"/>
    <n v="0"/>
  </r>
  <r>
    <x v="7"/>
    <s v="1375544-REE SOLUTIONS INC-www.reecoupons.com"/>
    <n v="1"/>
    <n v="0"/>
    <n v="0"/>
    <n v="0"/>
    <n v="0"/>
    <n v="0"/>
    <n v="0"/>
    <n v="0"/>
    <n v="0"/>
    <n v="0"/>
    <n v="1375544"/>
    <x v="45"/>
    <s v="www.reecoupons.com"/>
    <n v="0"/>
    <n v="0"/>
    <n v="0"/>
    <n v="0"/>
    <n v="0"/>
    <n v="0"/>
    <n v="0"/>
    <n v="0"/>
    <n v="0"/>
    <n v="0"/>
    <n v="0"/>
    <n v="0"/>
    <n v="0"/>
  </r>
  <r>
    <x v="7"/>
    <s v="1538097-Wildfire Systems Inc.-wildfire-corp.com"/>
    <n v="1"/>
    <n v="0"/>
    <n v="0"/>
    <n v="0"/>
    <n v="0"/>
    <n v="0"/>
    <n v="0"/>
    <n v="0"/>
    <n v="0"/>
    <n v="0"/>
    <n v="1538097"/>
    <x v="36"/>
    <s v="wildfire-corp.com"/>
    <n v="0"/>
    <n v="0"/>
    <n v="0"/>
    <n v="0"/>
    <n v="0"/>
    <n v="0"/>
    <n v="0"/>
    <n v="0"/>
    <n v="0"/>
    <n v="0"/>
    <n v="0"/>
    <n v="0"/>
    <n v="0"/>
  </r>
  <r>
    <x v="7"/>
    <s v="1578665-Mattress Advisor LLC-sleepopolis.com"/>
    <n v="1"/>
    <n v="0"/>
    <n v="0"/>
    <n v="0"/>
    <n v="0"/>
    <n v="0"/>
    <n v="0"/>
    <n v="0"/>
    <n v="0"/>
    <n v="0"/>
    <n v="1578665"/>
    <x v="27"/>
    <s v="sleepopolis.com"/>
    <n v="0"/>
    <n v="0"/>
    <n v="0"/>
    <n v="0"/>
    <n v="0"/>
    <n v="0"/>
    <n v="0"/>
    <n v="0"/>
    <n v="0"/>
    <n v="0"/>
    <n v="0"/>
    <n v="0"/>
    <n v="0"/>
  </r>
  <r>
    <x v="7"/>
    <s v="1873005-Kate Zach-www.verifiedpromocode.com"/>
    <n v="1"/>
    <n v="0"/>
    <n v="0"/>
    <n v="0"/>
    <n v="0"/>
    <n v="0"/>
    <n v="0"/>
    <n v="0"/>
    <n v="0"/>
    <n v="0"/>
    <n v="1873005"/>
    <x v="70"/>
    <s v="www.verifiedpromocode.com"/>
    <n v="0"/>
    <n v="0"/>
    <n v="0"/>
    <n v="0"/>
    <n v="0"/>
    <n v="0"/>
    <n v="0"/>
    <n v="0"/>
    <n v="0"/>
    <n v="0"/>
    <n v="0"/>
    <n v="0"/>
    <n v="0"/>
  </r>
  <r>
    <x v="7"/>
    <s v="2015681-Fresh Healthy Media LLC-vegnews.com/"/>
    <n v="1"/>
    <n v="0"/>
    <n v="0"/>
    <n v="0"/>
    <n v="0"/>
    <n v="0"/>
    <n v="0"/>
    <n v="0"/>
    <n v="0"/>
    <n v="0"/>
    <n v="2015681"/>
    <x v="62"/>
    <s v="vegnews.com/"/>
    <n v="0"/>
    <n v="0"/>
    <n v="0"/>
    <n v="0"/>
    <n v="0"/>
    <n v="0"/>
    <n v="0"/>
    <n v="0"/>
    <n v="0"/>
    <n v="0"/>
    <n v="0"/>
    <n v="0"/>
    <n v="0"/>
  </r>
  <r>
    <x v="7"/>
    <s v="2075116-Arif Bilal-www.fivestarcoupon.com/"/>
    <n v="1"/>
    <n v="0"/>
    <n v="0"/>
    <n v="0"/>
    <n v="0"/>
    <n v="0"/>
    <n v="0"/>
    <n v="0"/>
    <n v="0"/>
    <n v="0"/>
    <n v="2075116"/>
    <x v="50"/>
    <s v="www.fivestarcoupon.com/"/>
    <n v="0"/>
    <n v="0"/>
    <n v="0"/>
    <n v="0"/>
    <n v="0"/>
    <n v="0"/>
    <n v="0"/>
    <n v="0"/>
    <n v="0"/>
    <n v="0"/>
    <n v="0"/>
    <n v="0"/>
    <n v="0"/>
  </r>
  <r>
    <x v="7"/>
    <s v="2096628-yiwei zhang-www.besthomesdecor.com/"/>
    <n v="1"/>
    <n v="0"/>
    <n v="0"/>
    <n v="0"/>
    <n v="0"/>
    <n v="0"/>
    <n v="0"/>
    <n v="0"/>
    <n v="0"/>
    <n v="0"/>
    <n v="2096628"/>
    <x v="71"/>
    <s v="www.besthomesdecor.com/"/>
    <n v="0"/>
    <n v="0"/>
    <n v="0"/>
    <n v="0"/>
    <n v="0"/>
    <n v="0"/>
    <n v="0"/>
    <n v="0"/>
    <n v="0"/>
    <n v="0"/>
    <n v="0"/>
    <n v="0"/>
    <n v="0"/>
  </r>
  <r>
    <x v="7"/>
    <s v="2371233-william greiner-id-mag.com"/>
    <n v="1"/>
    <n v="0"/>
    <n v="0"/>
    <n v="0"/>
    <n v="0"/>
    <n v="0"/>
    <n v="0"/>
    <n v="0"/>
    <n v="0"/>
    <n v="0"/>
    <n v="2371233"/>
    <x v="72"/>
    <s v="id-mag.com"/>
    <n v="0"/>
    <n v="0"/>
    <n v="0"/>
    <n v="0"/>
    <n v="0"/>
    <n v="0"/>
    <n v="0"/>
    <n v="0"/>
    <n v="0"/>
    <n v="0"/>
    <n v="0"/>
    <n v="0"/>
    <n v="0"/>
  </r>
  <r>
    <x v="8"/>
    <s v="1088116-Business Insider Inc.-www.businessinsider.com"/>
    <n v="49"/>
    <n v="417.6"/>
    <n v="0"/>
    <n v="417.6"/>
    <n v="2"/>
    <n v="0"/>
    <n v="83.52"/>
    <n v="4.08"/>
    <n v="170.45"/>
    <n v="208.8"/>
    <n v="1088116"/>
    <x v="0"/>
    <s v="www.businessinsider.com"/>
    <n v="2"/>
    <n v="0"/>
    <n v="0"/>
    <n v="0"/>
    <n v="0"/>
    <n v="0"/>
    <n v="83.52"/>
    <n v="0"/>
    <n v="0"/>
    <n v="0"/>
    <n v="0"/>
    <n v="0"/>
    <n v="16.7"/>
  </r>
  <r>
    <x v="8"/>
    <s v="314743-Skimbit Ltd-skimlinks.com"/>
    <n v="90"/>
    <n v="224.1"/>
    <n v="0"/>
    <n v="224.1"/>
    <n v="1"/>
    <n v="0"/>
    <n v="33.61"/>
    <n v="1.1100000000000001"/>
    <n v="37.340000000000003"/>
    <n v="224.1"/>
    <n v="314743"/>
    <x v="9"/>
    <s v="skimlinks.com"/>
    <n v="1"/>
    <n v="0"/>
    <n v="0"/>
    <n v="0"/>
    <n v="0"/>
    <n v="0"/>
    <n v="33.61"/>
    <n v="0"/>
    <n v="0"/>
    <n v="0"/>
    <n v="0"/>
    <n v="0"/>
    <n v="6.72"/>
  </r>
  <r>
    <x v="8"/>
    <s v="725033-ID.me Inc.-shop.id.me"/>
    <n v="46"/>
    <n v="206.72"/>
    <n v="0"/>
    <n v="206.72"/>
    <n v="1"/>
    <n v="0"/>
    <n v="6.2"/>
    <n v="2.17"/>
    <n v="13.48"/>
    <n v="206.72"/>
    <n v="725033"/>
    <x v="1"/>
    <s v="shop.id.me"/>
    <n v="1"/>
    <n v="0"/>
    <n v="0"/>
    <n v="0"/>
    <n v="0"/>
    <n v="0"/>
    <n v="6.2"/>
    <n v="0"/>
    <n v="0"/>
    <n v="0"/>
    <n v="0"/>
    <n v="0"/>
    <n v="1.24"/>
  </r>
  <r>
    <x v="8"/>
    <s v="2053730-WW Affiliate-www.yourbestmattress247.com"/>
    <n v="12"/>
    <n v="199"/>
    <n v="0"/>
    <n v="199"/>
    <n v="1"/>
    <n v="0"/>
    <n v="5.97"/>
    <n v="8.33"/>
    <n v="49.75"/>
    <n v="199"/>
    <n v="2053730"/>
    <x v="12"/>
    <s v="www.yourbestmattress247.com"/>
    <n v="1"/>
    <n v="0"/>
    <n v="0"/>
    <n v="0"/>
    <n v="0"/>
    <n v="0"/>
    <n v="5.97"/>
    <n v="0"/>
    <n v="0"/>
    <n v="0"/>
    <n v="0"/>
    <n v="0"/>
    <n v="1.19"/>
  </r>
  <r>
    <x v="8"/>
    <s v="445875-Demand.io-knoji.com"/>
    <n v="16"/>
    <n v="174.83"/>
    <n v="0"/>
    <n v="174.83"/>
    <n v="1"/>
    <n v="0"/>
    <n v="5.24"/>
    <n v="6.25"/>
    <n v="32.75"/>
    <n v="174.83"/>
    <n v="445875"/>
    <x v="6"/>
    <s v="knoji.com"/>
    <n v="1"/>
    <n v="0"/>
    <n v="0"/>
    <n v="0"/>
    <n v="0"/>
    <n v="0"/>
    <n v="5.24"/>
    <n v="0"/>
    <n v="0"/>
    <n v="0"/>
    <n v="0"/>
    <n v="0"/>
    <n v="1.05"/>
  </r>
  <r>
    <x v="8"/>
    <s v="1584217-Trends Green-topnaturalmattresses.com"/>
    <n v="42"/>
    <n v="0"/>
    <n v="0"/>
    <n v="0"/>
    <n v="0"/>
    <n v="0"/>
    <n v="0"/>
    <n v="0"/>
    <n v="0"/>
    <n v="0"/>
    <n v="1584217"/>
    <x v="10"/>
    <s v="topnaturalmattresses.com"/>
    <n v="0"/>
    <n v="0"/>
    <n v="0"/>
    <n v="0"/>
    <n v="0"/>
    <n v="0"/>
    <n v="0"/>
    <n v="0"/>
    <n v="0"/>
    <n v="0"/>
    <n v="0"/>
    <n v="0"/>
    <n v="0"/>
  </r>
  <r>
    <x v="8"/>
    <s v="748814-Reviewed.com-www.reviewed.com"/>
    <n v="38"/>
    <n v="0"/>
    <n v="0"/>
    <n v="0"/>
    <n v="0"/>
    <n v="0"/>
    <n v="0"/>
    <n v="0"/>
    <n v="0"/>
    <n v="0"/>
    <n v="748814"/>
    <x v="13"/>
    <s v="www.reviewed.com"/>
    <n v="0"/>
    <n v="0"/>
    <n v="0"/>
    <n v="0"/>
    <n v="0"/>
    <n v="0"/>
    <n v="0"/>
    <n v="0"/>
    <n v="0"/>
    <n v="0"/>
    <n v="0"/>
    <n v="0"/>
    <n v="0"/>
  </r>
  <r>
    <x v="8"/>
    <s v="389818-VigLink Inc.-www.viglink.com"/>
    <n v="24"/>
    <n v="0"/>
    <n v="0"/>
    <n v="0"/>
    <n v="0"/>
    <n v="0"/>
    <n v="0"/>
    <n v="0"/>
    <n v="0"/>
    <n v="0"/>
    <n v="389818"/>
    <x v="15"/>
    <s v="www.viglink.com"/>
    <n v="0"/>
    <n v="0"/>
    <n v="0"/>
    <n v="0"/>
    <n v="0"/>
    <n v="0"/>
    <n v="0"/>
    <n v="0"/>
    <n v="0"/>
    <n v="0"/>
    <n v="0"/>
    <n v="0"/>
    <n v="0"/>
  </r>
  <r>
    <x v="8"/>
    <s v="1773960-Tuck.com LLC-tuck.com"/>
    <n v="16"/>
    <n v="0"/>
    <n v="0"/>
    <n v="0"/>
    <n v="0"/>
    <n v="0"/>
    <n v="0"/>
    <n v="0"/>
    <n v="0"/>
    <n v="0"/>
    <n v="1773960"/>
    <x v="11"/>
    <s v="tuck.com"/>
    <n v="0"/>
    <n v="0"/>
    <n v="0"/>
    <n v="0"/>
    <n v="0"/>
    <n v="0"/>
    <n v="0"/>
    <n v="0"/>
    <n v="0"/>
    <n v="0"/>
    <n v="0"/>
    <n v="0"/>
    <n v="0"/>
  </r>
  <r>
    <x v="8"/>
    <s v="201285-12 Interactive LLC-www.perkspot.com"/>
    <n v="15"/>
    <n v="0"/>
    <n v="0"/>
    <n v="0"/>
    <n v="0"/>
    <n v="0"/>
    <n v="0"/>
    <n v="0"/>
    <n v="0"/>
    <n v="0"/>
    <n v="201285"/>
    <x v="5"/>
    <s v="www.perkspot.com"/>
    <n v="0"/>
    <n v="0"/>
    <n v="0"/>
    <n v="0"/>
    <n v="0"/>
    <n v="0"/>
    <n v="0"/>
    <n v="0"/>
    <n v="0"/>
    <n v="0"/>
    <n v="0"/>
    <n v="0"/>
    <n v="0"/>
  </r>
  <r>
    <x v="8"/>
    <s v="1014069-Mutzel Nutrition LLC-highintensityhealth.com/"/>
    <n v="8"/>
    <n v="0"/>
    <n v="0"/>
    <n v="0"/>
    <n v="0"/>
    <n v="0"/>
    <n v="0"/>
    <n v="0"/>
    <n v="0"/>
    <n v="0"/>
    <n v="1014069"/>
    <x v="14"/>
    <s v="highintensityhealth.com/"/>
    <n v="0"/>
    <n v="0"/>
    <n v="0"/>
    <n v="0"/>
    <n v="0"/>
    <n v="0"/>
    <n v="0"/>
    <n v="0"/>
    <n v="0"/>
    <n v="0"/>
    <n v="0"/>
    <n v="0"/>
    <n v="0"/>
  </r>
  <r>
    <x v="8"/>
    <s v="2284878-Tuck.com LLC-www.sleepfoundation.org/"/>
    <n v="8"/>
    <n v="0"/>
    <n v="0"/>
    <n v="0"/>
    <n v="0"/>
    <n v="0"/>
    <n v="0"/>
    <n v="0"/>
    <n v="0"/>
    <n v="0"/>
    <n v="2284878"/>
    <x v="11"/>
    <s v="www.sleepfoundation.org/"/>
    <n v="0"/>
    <n v="0"/>
    <n v="0"/>
    <n v="0"/>
    <n v="0"/>
    <n v="0"/>
    <n v="0"/>
    <n v="0"/>
    <n v="0"/>
    <n v="0"/>
    <n v="0"/>
    <n v="0"/>
    <n v="0"/>
  </r>
  <r>
    <x v="8"/>
    <s v="1238556-YIELDKIT GmbH-yieldkit.com"/>
    <n v="7"/>
    <n v="0"/>
    <n v="0"/>
    <n v="0"/>
    <n v="0"/>
    <n v="0"/>
    <n v="0"/>
    <n v="0"/>
    <n v="0"/>
    <n v="0"/>
    <n v="1238556"/>
    <x v="3"/>
    <s v="yieldkit.com"/>
    <n v="0"/>
    <n v="0"/>
    <n v="0"/>
    <n v="0"/>
    <n v="0"/>
    <n v="0"/>
    <n v="0"/>
    <n v="0"/>
    <n v="0"/>
    <n v="0"/>
    <n v="0"/>
    <n v="0"/>
    <n v="0"/>
  </r>
  <r>
    <x v="8"/>
    <s v="514792-CBS Interactive Inc.-www.cnet.com"/>
    <n v="6"/>
    <n v="0"/>
    <n v="0"/>
    <n v="0"/>
    <n v="0"/>
    <n v="0"/>
    <n v="0"/>
    <n v="0"/>
    <n v="0"/>
    <n v="0"/>
    <n v="514792"/>
    <x v="19"/>
    <s v="www.cnet.com"/>
    <n v="0"/>
    <n v="0"/>
    <n v="0"/>
    <n v="0"/>
    <n v="0"/>
    <n v="0"/>
    <n v="0"/>
    <n v="0"/>
    <n v="0"/>
    <n v="0"/>
    <n v="0"/>
    <n v="0"/>
    <n v="0"/>
  </r>
  <r>
    <x v="8"/>
    <s v="140995-Savings.com Inc-www.savings.com"/>
    <n v="4"/>
    <n v="0"/>
    <n v="0"/>
    <n v="0"/>
    <n v="0"/>
    <n v="0"/>
    <n v="0"/>
    <n v="0"/>
    <n v="0"/>
    <n v="0"/>
    <n v="140995"/>
    <x v="7"/>
    <s v="www.savings.com"/>
    <n v="0"/>
    <n v="0"/>
    <n v="0"/>
    <n v="0"/>
    <n v="0"/>
    <n v="0"/>
    <n v="0"/>
    <n v="0"/>
    <n v="0"/>
    <n v="0"/>
    <n v="0"/>
    <n v="0"/>
    <n v="0"/>
  </r>
  <r>
    <x v="8"/>
    <s v="745788-digidip GmbH-digidip.net"/>
    <n v="4"/>
    <n v="0"/>
    <n v="0"/>
    <n v="0"/>
    <n v="0"/>
    <n v="0"/>
    <n v="0"/>
    <n v="0"/>
    <n v="0"/>
    <n v="0"/>
    <n v="745788"/>
    <x v="18"/>
    <s v="digidip.net"/>
    <n v="0"/>
    <n v="0"/>
    <n v="0"/>
    <n v="0"/>
    <n v="0"/>
    <n v="0"/>
    <n v="0"/>
    <n v="0"/>
    <n v="0"/>
    <n v="0"/>
    <n v="0"/>
    <n v="0"/>
    <n v="0"/>
  </r>
  <r>
    <x v="8"/>
    <s v="1413766-LinkGains (HK) Limited-www.hotdeals.com"/>
    <n v="3"/>
    <n v="0"/>
    <n v="0"/>
    <n v="0"/>
    <n v="0"/>
    <n v="0"/>
    <n v="0"/>
    <n v="0"/>
    <n v="0"/>
    <n v="0"/>
    <n v="1413766"/>
    <x v="16"/>
    <s v="www.hotdeals.com"/>
    <n v="0"/>
    <n v="0"/>
    <n v="0"/>
    <n v="0"/>
    <n v="0"/>
    <n v="0"/>
    <n v="0"/>
    <n v="0"/>
    <n v="0"/>
    <n v="0"/>
    <n v="0"/>
    <n v="0"/>
    <n v="0"/>
  </r>
  <r>
    <x v="8"/>
    <s v="1578665-Mattress Advisor LLC-sleepopolis.com"/>
    <n v="3"/>
    <n v="0"/>
    <n v="0"/>
    <n v="0"/>
    <n v="0"/>
    <n v="0"/>
    <n v="0"/>
    <n v="0"/>
    <n v="0"/>
    <n v="0"/>
    <n v="1578665"/>
    <x v="27"/>
    <s v="sleepopolis.com"/>
    <n v="0"/>
    <n v="0"/>
    <n v="0"/>
    <n v="0"/>
    <n v="0"/>
    <n v="0"/>
    <n v="0"/>
    <n v="0"/>
    <n v="0"/>
    <n v="0"/>
    <n v="0"/>
    <n v="0"/>
    <n v="0"/>
  </r>
  <r>
    <x v="8"/>
    <s v="136482-Vertive LLC (Offers.com LLC.)-offers.com"/>
    <n v="2"/>
    <n v="0"/>
    <n v="0"/>
    <n v="0"/>
    <n v="0"/>
    <n v="0"/>
    <n v="0"/>
    <n v="0"/>
    <n v="0"/>
    <n v="0"/>
    <n v="136482"/>
    <x v="8"/>
    <s v="offers.com"/>
    <n v="0"/>
    <n v="0"/>
    <n v="0"/>
    <n v="0"/>
    <n v="0"/>
    <n v="0"/>
    <n v="0"/>
    <n v="0"/>
    <n v="0"/>
    <n v="0"/>
    <n v="0"/>
    <n v="0"/>
    <n v="0"/>
  </r>
  <r>
    <x v="8"/>
    <s v="193744-shareasaleaffnl@rmn.com-www.retailmenot.com"/>
    <n v="2"/>
    <n v="0"/>
    <n v="0"/>
    <n v="0"/>
    <n v="0"/>
    <n v="0"/>
    <n v="0"/>
    <n v="0"/>
    <n v="0"/>
    <n v="0"/>
    <n v="193744"/>
    <x v="30"/>
    <s v="www.retailmenot.com"/>
    <n v="0"/>
    <n v="0"/>
    <n v="0"/>
    <n v="0"/>
    <n v="0"/>
    <n v="0"/>
    <n v="0"/>
    <n v="0"/>
    <n v="0"/>
    <n v="0"/>
    <n v="0"/>
    <n v="0"/>
    <n v="0"/>
  </r>
  <r>
    <x v="8"/>
    <s v="1519404-Mariano Cordoba-marianocordoba.me"/>
    <n v="2"/>
    <n v="0"/>
    <n v="0"/>
    <n v="0"/>
    <n v="0"/>
    <n v="0"/>
    <n v="0"/>
    <n v="0"/>
    <n v="0"/>
    <n v="0"/>
    <n v="1519404"/>
    <x v="26"/>
    <s v="marianocordoba.me"/>
    <n v="0"/>
    <n v="0"/>
    <n v="0"/>
    <n v="0"/>
    <n v="0"/>
    <n v="0"/>
    <n v="0"/>
    <n v="0"/>
    <n v="0"/>
    <n v="0"/>
    <n v="0"/>
    <n v="0"/>
    <n v="0"/>
  </r>
  <r>
    <x v="8"/>
    <s v="1738672-Bin Yin-www.couponpa.com"/>
    <n v="2"/>
    <n v="0"/>
    <n v="0"/>
    <n v="0"/>
    <n v="0"/>
    <n v="0"/>
    <n v="0"/>
    <n v="0"/>
    <n v="0"/>
    <n v="0"/>
    <n v="1738672"/>
    <x v="48"/>
    <s v="www.couponpa.com"/>
    <n v="0"/>
    <n v="0"/>
    <n v="0"/>
    <n v="0"/>
    <n v="0"/>
    <n v="0"/>
    <n v="0"/>
    <n v="0"/>
    <n v="0"/>
    <n v="0"/>
    <n v="0"/>
    <n v="0"/>
    <n v="0"/>
  </r>
  <r>
    <x v="8"/>
    <s v="2029250-CNN Interactive Group-www.cnn.com/cnn-underscored/"/>
    <n v="2"/>
    <n v="0"/>
    <n v="0"/>
    <n v="0"/>
    <n v="0"/>
    <n v="0"/>
    <n v="0"/>
    <n v="0"/>
    <n v="0"/>
    <n v="0"/>
    <n v="2029250"/>
    <x v="41"/>
    <s v="www.cnn.com/cnn-underscored/"/>
    <n v="0"/>
    <n v="0"/>
    <n v="0"/>
    <n v="0"/>
    <n v="0"/>
    <n v="0"/>
    <n v="0"/>
    <n v="0"/>
    <n v="0"/>
    <n v="0"/>
    <n v="0"/>
    <n v="0"/>
    <n v="0"/>
  </r>
  <r>
    <x v="8"/>
    <s v="154911-CouponCabin LLC-www.couponcabin.com"/>
    <n v="1"/>
    <n v="0"/>
    <n v="0"/>
    <n v="0"/>
    <n v="0"/>
    <n v="0"/>
    <n v="0"/>
    <n v="0"/>
    <n v="0"/>
    <n v="0"/>
    <n v="154911"/>
    <x v="21"/>
    <s v="www.couponcabin.com"/>
    <n v="0"/>
    <n v="0"/>
    <n v="0"/>
    <n v="0"/>
    <n v="0"/>
    <n v="0"/>
    <n v="0"/>
    <n v="0"/>
    <n v="0"/>
    <n v="0"/>
    <n v="0"/>
    <n v="0"/>
    <n v="0"/>
  </r>
  <r>
    <x v="8"/>
    <s v="213636-SurfMyAds.com-www.promocodes.com"/>
    <n v="1"/>
    <n v="0"/>
    <n v="0"/>
    <n v="0"/>
    <n v="0"/>
    <n v="0"/>
    <n v="0"/>
    <n v="0"/>
    <n v="0"/>
    <n v="0"/>
    <n v="213636"/>
    <x v="22"/>
    <s v="www.promocodes.com"/>
    <n v="0"/>
    <n v="0"/>
    <n v="0"/>
    <n v="0"/>
    <n v="0"/>
    <n v="0"/>
    <n v="0"/>
    <n v="0"/>
    <n v="0"/>
    <n v="0"/>
    <n v="0"/>
    <n v="0"/>
    <n v="0"/>
  </r>
  <r>
    <x v="8"/>
    <s v="318676-Capital Intellect Inc.-www.befrugal.com"/>
    <n v="1"/>
    <n v="0"/>
    <n v="0"/>
    <n v="0"/>
    <n v="0"/>
    <n v="0"/>
    <n v="0"/>
    <n v="0"/>
    <n v="0"/>
    <n v="0"/>
    <n v="318676"/>
    <x v="31"/>
    <s v="www.befrugal.com"/>
    <n v="0"/>
    <n v="0"/>
    <n v="0"/>
    <n v="0"/>
    <n v="0"/>
    <n v="0"/>
    <n v="0"/>
    <n v="0"/>
    <n v="0"/>
    <n v="0"/>
    <n v="0"/>
    <n v="0"/>
    <n v="0"/>
  </r>
  <r>
    <x v="8"/>
    <s v="708786-ANDHI ERMAWAN-couponseeker.com salehunter.com"/>
    <n v="1"/>
    <n v="0"/>
    <n v="0"/>
    <n v="0"/>
    <n v="0"/>
    <n v="0"/>
    <n v="0"/>
    <n v="0"/>
    <n v="0"/>
    <n v="0"/>
    <n v="708786"/>
    <x v="32"/>
    <s v="couponseeker.com, salehunter.com"/>
    <n v="0"/>
    <n v="0"/>
    <n v="0"/>
    <n v="0"/>
    <n v="0"/>
    <n v="0"/>
    <n v="0"/>
    <n v="0"/>
    <n v="0"/>
    <n v="0"/>
    <n v="0"/>
    <n v="0"/>
    <n v="0"/>
  </r>
  <r>
    <x v="8"/>
    <s v="1007528-Buy Like Me Inc-www.sleepdelivered.com"/>
    <n v="1"/>
    <n v="0"/>
    <n v="0"/>
    <n v="0"/>
    <n v="0"/>
    <n v="0"/>
    <n v="0"/>
    <n v="0"/>
    <n v="0"/>
    <n v="0"/>
    <n v="1007528"/>
    <x v="73"/>
    <s v="www.sleepdelivered.com"/>
    <n v="0"/>
    <n v="0"/>
    <n v="0"/>
    <n v="0"/>
    <n v="0"/>
    <n v="0"/>
    <n v="0"/>
    <n v="0"/>
    <n v="0"/>
    <n v="0"/>
    <n v="0"/>
    <n v="0"/>
    <n v="0"/>
  </r>
  <r>
    <x v="8"/>
    <s v="1242889-RIZKNOWS LLC-www.rizknows.com"/>
    <n v="1"/>
    <n v="0"/>
    <n v="0"/>
    <n v="0"/>
    <n v="0"/>
    <n v="0"/>
    <n v="0"/>
    <n v="0"/>
    <n v="0"/>
    <n v="0"/>
    <n v="1242889"/>
    <x v="25"/>
    <s v="www.rizknows.com"/>
    <n v="0"/>
    <n v="0"/>
    <n v="0"/>
    <n v="0"/>
    <n v="0"/>
    <n v="0"/>
    <n v="0"/>
    <n v="0"/>
    <n v="0"/>
    <n v="0"/>
    <n v="0"/>
    <n v="0"/>
    <n v="0"/>
  </r>
  <r>
    <x v="8"/>
    <s v="1372745-SavvyShop-savvyshopworld.com"/>
    <n v="1"/>
    <n v="0"/>
    <n v="0"/>
    <n v="0"/>
    <n v="0"/>
    <n v="0"/>
    <n v="0"/>
    <n v="0"/>
    <n v="0"/>
    <n v="0"/>
    <n v="1372745"/>
    <x v="4"/>
    <s v="savvyshopworld.com"/>
    <n v="0"/>
    <n v="0"/>
    <n v="0"/>
    <n v="0"/>
    <n v="0"/>
    <n v="0"/>
    <n v="0"/>
    <n v="0"/>
    <n v="0"/>
    <n v="0"/>
    <n v="0"/>
    <n v="0"/>
    <n v="0"/>
  </r>
  <r>
    <x v="8"/>
    <s v="1375544-REE SOLUTIONS INC-www.reecoupons.com"/>
    <n v="1"/>
    <n v="0"/>
    <n v="0"/>
    <n v="0"/>
    <n v="0"/>
    <n v="0"/>
    <n v="0"/>
    <n v="0"/>
    <n v="0"/>
    <n v="0"/>
    <n v="1375544"/>
    <x v="45"/>
    <s v="www.reecoupons.com"/>
    <n v="0"/>
    <n v="0"/>
    <n v="0"/>
    <n v="0"/>
    <n v="0"/>
    <n v="0"/>
    <n v="0"/>
    <n v="0"/>
    <n v="0"/>
    <n v="0"/>
    <n v="0"/>
    <n v="0"/>
    <n v="0"/>
  </r>
  <r>
    <x v="8"/>
    <s v="1538097-Wildfire Systems Inc.-wildfire-corp.com"/>
    <n v="1"/>
    <n v="0"/>
    <n v="0"/>
    <n v="0"/>
    <n v="0"/>
    <n v="0"/>
    <n v="0"/>
    <n v="0"/>
    <n v="0"/>
    <n v="0"/>
    <n v="1538097"/>
    <x v="36"/>
    <s v="wildfire-corp.com"/>
    <n v="0"/>
    <n v="0"/>
    <n v="0"/>
    <n v="0"/>
    <n v="0"/>
    <n v="0"/>
    <n v="0"/>
    <n v="0"/>
    <n v="0"/>
    <n v="0"/>
    <n v="0"/>
    <n v="0"/>
    <n v="0"/>
  </r>
  <r>
    <x v="8"/>
    <s v="1564860-Jonathan Chee Loong Chow-thanhloccuocsong.com"/>
    <n v="1"/>
    <n v="0"/>
    <n v="0"/>
    <n v="0"/>
    <n v="0"/>
    <n v="0"/>
    <n v="0"/>
    <n v="0"/>
    <n v="0"/>
    <n v="0"/>
    <n v="1564860"/>
    <x v="74"/>
    <s v="thanhloccuocsong.com"/>
    <n v="0"/>
    <n v="0"/>
    <n v="0"/>
    <n v="0"/>
    <n v="0"/>
    <n v="0"/>
    <n v="0"/>
    <n v="0"/>
    <n v="0"/>
    <n v="0"/>
    <n v="0"/>
    <n v="0"/>
    <n v="0"/>
  </r>
  <r>
    <x v="8"/>
    <s v="1606247-Shasta Tisdale-www.facebook.com/Saleaholiccoupons/"/>
    <n v="1"/>
    <n v="0"/>
    <n v="0"/>
    <n v="0"/>
    <n v="0"/>
    <n v="0"/>
    <n v="0"/>
    <n v="0"/>
    <n v="0"/>
    <n v="0"/>
    <n v="1606247"/>
    <x v="75"/>
    <s v="www.facebook.com/Saleaholiccoupons/"/>
    <n v="0"/>
    <n v="0"/>
    <n v="0"/>
    <n v="0"/>
    <n v="0"/>
    <n v="0"/>
    <n v="0"/>
    <n v="0"/>
    <n v="0"/>
    <n v="0"/>
    <n v="0"/>
    <n v="0"/>
    <n v="0"/>
  </r>
  <r>
    <x v="8"/>
    <s v="1663605-GSG North America LLC-coupons.businessinsider.com/"/>
    <n v="1"/>
    <n v="0"/>
    <n v="0"/>
    <n v="0"/>
    <n v="0"/>
    <n v="0"/>
    <n v="0"/>
    <n v="0"/>
    <n v="0"/>
    <n v="0"/>
    <n v="1663605"/>
    <x v="47"/>
    <s v="coupons.businessinsider.com/"/>
    <n v="0"/>
    <n v="0"/>
    <n v="0"/>
    <n v="0"/>
    <n v="0"/>
    <n v="0"/>
    <n v="0"/>
    <n v="0"/>
    <n v="0"/>
    <n v="0"/>
    <n v="0"/>
    <n v="0"/>
    <n v="0"/>
  </r>
  <r>
    <x v="8"/>
    <s v="1772040-Meredith Corporation-www.realsimple.com/"/>
    <n v="1"/>
    <n v="0"/>
    <n v="0"/>
    <n v="0"/>
    <n v="0"/>
    <n v="0"/>
    <n v="0"/>
    <n v="0"/>
    <n v="0"/>
    <n v="0"/>
    <n v="1772040"/>
    <x v="17"/>
    <s v="www.realsimple.com/"/>
    <n v="0"/>
    <n v="0"/>
    <n v="0"/>
    <n v="0"/>
    <n v="0"/>
    <n v="0"/>
    <n v="0"/>
    <n v="0"/>
    <n v="0"/>
    <n v="0"/>
    <n v="0"/>
    <n v="0"/>
    <n v="0"/>
  </r>
  <r>
    <x v="8"/>
    <s v="1778626-Syed Hammad Hussain-www.couponsvolcano.com"/>
    <n v="1"/>
    <n v="0"/>
    <n v="0"/>
    <n v="0"/>
    <n v="0"/>
    <n v="0"/>
    <n v="0"/>
    <n v="0"/>
    <n v="0"/>
    <n v="0"/>
    <n v="1778626"/>
    <x v="52"/>
    <s v="www.couponsvolcano.com"/>
    <n v="0"/>
    <n v="0"/>
    <n v="0"/>
    <n v="0"/>
    <n v="0"/>
    <n v="0"/>
    <n v="0"/>
    <n v="0"/>
    <n v="0"/>
    <n v="0"/>
    <n v="0"/>
    <n v="0"/>
    <n v="0"/>
  </r>
  <r>
    <x v="8"/>
    <s v="1869309-Mattress Media LLC.-mattressnerd.com"/>
    <n v="1"/>
    <n v="0"/>
    <n v="0"/>
    <n v="0"/>
    <n v="0"/>
    <n v="0"/>
    <n v="0"/>
    <n v="0"/>
    <n v="0"/>
    <n v="0"/>
    <n v="1869309"/>
    <x v="57"/>
    <s v="mattressnerd.com"/>
    <n v="0"/>
    <n v="0"/>
    <n v="0"/>
    <n v="0"/>
    <n v="0"/>
    <n v="0"/>
    <n v="0"/>
    <n v="0"/>
    <n v="0"/>
    <n v="0"/>
    <n v="0"/>
    <n v="0"/>
    <n v="0"/>
  </r>
  <r>
    <x v="8"/>
    <s v="1873005-Kate Zach-www.verifiedpromocode.com"/>
    <n v="1"/>
    <n v="0"/>
    <n v="0"/>
    <n v="0"/>
    <n v="0"/>
    <n v="0"/>
    <n v="0"/>
    <n v="0"/>
    <n v="0"/>
    <n v="0"/>
    <n v="1873005"/>
    <x v="70"/>
    <s v="www.verifiedpromocode.com"/>
    <n v="0"/>
    <n v="0"/>
    <n v="0"/>
    <n v="0"/>
    <n v="0"/>
    <n v="0"/>
    <n v="0"/>
    <n v="0"/>
    <n v="0"/>
    <n v="0"/>
    <n v="0"/>
    <n v="0"/>
    <n v="0"/>
  </r>
  <r>
    <x v="8"/>
    <s v="2075116-Arif Bilal-www.fivestarcoupon.com/"/>
    <n v="1"/>
    <n v="0"/>
    <n v="0"/>
    <n v="0"/>
    <n v="0"/>
    <n v="0"/>
    <n v="0"/>
    <n v="0"/>
    <n v="0"/>
    <n v="0"/>
    <n v="2075116"/>
    <x v="50"/>
    <s v="www.fivestarcoupon.com/"/>
    <n v="0"/>
    <n v="0"/>
    <n v="0"/>
    <n v="0"/>
    <n v="0"/>
    <n v="0"/>
    <n v="0"/>
    <n v="0"/>
    <n v="0"/>
    <n v="0"/>
    <n v="0"/>
    <n v="0"/>
    <n v="0"/>
  </r>
  <r>
    <x v="8"/>
    <s v="2316883-HigherDOSE LLC-higherdose.com/"/>
    <n v="1"/>
    <n v="0"/>
    <n v="0"/>
    <n v="0"/>
    <n v="0"/>
    <n v="0"/>
    <n v="0"/>
    <n v="0"/>
    <n v="0"/>
    <n v="0"/>
    <n v="2316883"/>
    <x v="58"/>
    <s v="higherdose.com/"/>
    <n v="0"/>
    <n v="0"/>
    <n v="0"/>
    <n v="0"/>
    <n v="0"/>
    <n v="0"/>
    <n v="0"/>
    <n v="0"/>
    <n v="0"/>
    <n v="0"/>
    <n v="0"/>
    <n v="0"/>
    <n v="0"/>
  </r>
  <r>
    <x v="8"/>
    <s v="2364026-OutWork24-fallingasleep.net"/>
    <n v="1"/>
    <n v="0"/>
    <n v="0"/>
    <n v="0"/>
    <n v="0"/>
    <n v="0"/>
    <n v="0"/>
    <n v="0"/>
    <n v="0"/>
    <n v="0"/>
    <n v="2364026"/>
    <x v="67"/>
    <s v="fallingasleep.net"/>
    <n v="0"/>
    <n v="0"/>
    <n v="0"/>
    <n v="0"/>
    <n v="0"/>
    <n v="0"/>
    <n v="0"/>
    <n v="0"/>
    <n v="0"/>
    <n v="0"/>
    <n v="0"/>
    <n v="0"/>
    <n v="0"/>
  </r>
  <r>
    <x v="8"/>
    <s v="2371233-william greiner-id-mag.com"/>
    <n v="1"/>
    <n v="0"/>
    <n v="0"/>
    <n v="0"/>
    <n v="0"/>
    <n v="0"/>
    <n v="0"/>
    <n v="0"/>
    <n v="0"/>
    <n v="0"/>
    <n v="2371233"/>
    <x v="72"/>
    <s v="id-mag.com"/>
    <n v="0"/>
    <n v="0"/>
    <n v="0"/>
    <n v="0"/>
    <n v="0"/>
    <n v="0"/>
    <n v="0"/>
    <n v="0"/>
    <n v="0"/>
    <n v="0"/>
    <n v="0"/>
    <n v="0"/>
    <n v="0"/>
  </r>
  <r>
    <x v="9"/>
    <s v="445875-Demand.io-knoji.com"/>
    <n v="9"/>
    <n v="421.8"/>
    <n v="0"/>
    <n v="421.8"/>
    <n v="1"/>
    <n v="0"/>
    <n v="12.65"/>
    <n v="11.11"/>
    <n v="140.56"/>
    <n v="421.8"/>
    <n v="445875"/>
    <x v="6"/>
    <s v="knoji.com"/>
    <n v="1"/>
    <n v="0"/>
    <n v="0"/>
    <n v="0"/>
    <n v="0"/>
    <n v="0"/>
    <n v="12.65"/>
    <n v="0"/>
    <n v="0"/>
    <n v="0"/>
    <n v="0"/>
    <n v="0"/>
    <n v="2.5299999999999998"/>
  </r>
  <r>
    <x v="9"/>
    <s v="1519404-Mariano Cordoba-marianocordoba.me"/>
    <n v="1"/>
    <n v="260.10000000000002"/>
    <n v="0"/>
    <n v="260.10000000000002"/>
    <n v="1"/>
    <n v="0"/>
    <n v="7.8"/>
    <n v="100"/>
    <n v="780"/>
    <n v="260.10000000000002"/>
    <n v="1519404"/>
    <x v="26"/>
    <s v="marianocordoba.me"/>
    <n v="1"/>
    <n v="0"/>
    <n v="0"/>
    <n v="0"/>
    <n v="0"/>
    <n v="0"/>
    <n v="7.8"/>
    <n v="0"/>
    <n v="0"/>
    <n v="0"/>
    <n v="0"/>
    <n v="0"/>
    <n v="1.56"/>
  </r>
  <r>
    <x v="9"/>
    <s v="314743-Skimbit Ltd-skimlinks.com"/>
    <n v="108"/>
    <n v="199"/>
    <n v="0"/>
    <n v="199"/>
    <n v="1"/>
    <n v="0"/>
    <n v="29.85"/>
    <n v="0.93"/>
    <n v="27.64"/>
    <n v="199"/>
    <n v="314743"/>
    <x v="9"/>
    <s v="skimlinks.com"/>
    <n v="1"/>
    <n v="0"/>
    <n v="0"/>
    <n v="0"/>
    <n v="0"/>
    <n v="0"/>
    <n v="29.85"/>
    <n v="0"/>
    <n v="0"/>
    <n v="0"/>
    <n v="0"/>
    <n v="0"/>
    <n v="5.97"/>
  </r>
  <r>
    <x v="9"/>
    <s v="1250612-Refermate LLC-www.refermate.com"/>
    <n v="1"/>
    <n v="96"/>
    <n v="0"/>
    <n v="96"/>
    <n v="1"/>
    <n v="0"/>
    <n v="2.88"/>
    <n v="100"/>
    <n v="288"/>
    <n v="96"/>
    <n v="1250612"/>
    <x v="76"/>
    <s v="www.refermate.com"/>
    <n v="1"/>
    <n v="0"/>
    <n v="0"/>
    <n v="0"/>
    <n v="0"/>
    <n v="0"/>
    <n v="2.88"/>
    <n v="0"/>
    <n v="0"/>
    <n v="0"/>
    <n v="0"/>
    <n v="0"/>
    <n v="0.57999999999999996"/>
  </r>
  <r>
    <x v="9"/>
    <s v="1584217-Trends Green-topnaturalmattresses.com"/>
    <n v="53"/>
    <n v="0"/>
    <n v="0"/>
    <n v="0"/>
    <n v="0"/>
    <n v="0"/>
    <n v="0"/>
    <n v="0"/>
    <n v="0"/>
    <n v="0"/>
    <n v="1584217"/>
    <x v="10"/>
    <s v="topnaturalmattresses.com"/>
    <n v="0"/>
    <n v="0"/>
    <n v="0"/>
    <n v="0"/>
    <n v="0"/>
    <n v="0"/>
    <n v="0"/>
    <n v="0"/>
    <n v="0"/>
    <n v="0"/>
    <n v="0"/>
    <n v="0"/>
    <n v="0"/>
  </r>
  <r>
    <x v="9"/>
    <s v="725033-ID.me Inc.-shop.id.me"/>
    <n v="50"/>
    <n v="0"/>
    <n v="0"/>
    <n v="0"/>
    <n v="0"/>
    <n v="0"/>
    <n v="0"/>
    <n v="0"/>
    <n v="0"/>
    <n v="0"/>
    <n v="725033"/>
    <x v="1"/>
    <s v="shop.id.me"/>
    <n v="0"/>
    <n v="0"/>
    <n v="0"/>
    <n v="0"/>
    <n v="0"/>
    <n v="0"/>
    <n v="0"/>
    <n v="0"/>
    <n v="0"/>
    <n v="0"/>
    <n v="0"/>
    <n v="0"/>
    <n v="0"/>
  </r>
  <r>
    <x v="9"/>
    <s v="1088116-Business Insider Inc.-www.businessinsider.com"/>
    <n v="43"/>
    <n v="0"/>
    <n v="0"/>
    <n v="0"/>
    <n v="0"/>
    <n v="0"/>
    <n v="0"/>
    <n v="0"/>
    <n v="0"/>
    <n v="0"/>
    <n v="1088116"/>
    <x v="0"/>
    <s v="www.businessinsider.com"/>
    <n v="0"/>
    <n v="0"/>
    <n v="0"/>
    <n v="0"/>
    <n v="0"/>
    <n v="0"/>
    <n v="0"/>
    <n v="0"/>
    <n v="0"/>
    <n v="0"/>
    <n v="0"/>
    <n v="0"/>
    <n v="0"/>
  </r>
  <r>
    <x v="9"/>
    <s v="389818-VigLink Inc.-www.viglink.com"/>
    <n v="23"/>
    <n v="0"/>
    <n v="0"/>
    <n v="0"/>
    <n v="0"/>
    <n v="0"/>
    <n v="0"/>
    <n v="0"/>
    <n v="0"/>
    <n v="0"/>
    <n v="389818"/>
    <x v="15"/>
    <s v="www.viglink.com"/>
    <n v="0"/>
    <n v="0"/>
    <n v="0"/>
    <n v="0"/>
    <n v="0"/>
    <n v="0"/>
    <n v="0"/>
    <n v="0"/>
    <n v="0"/>
    <n v="0"/>
    <n v="0"/>
    <n v="0"/>
    <n v="0"/>
  </r>
  <r>
    <x v="9"/>
    <s v="2053730-WW Affiliate-www.yourbestmattress247.com"/>
    <n v="22"/>
    <n v="0"/>
    <n v="0"/>
    <n v="0"/>
    <n v="0"/>
    <n v="0"/>
    <n v="0"/>
    <n v="0"/>
    <n v="0"/>
    <n v="0"/>
    <n v="2053730"/>
    <x v="12"/>
    <s v="www.yourbestmattress247.com"/>
    <n v="0"/>
    <n v="0"/>
    <n v="0"/>
    <n v="0"/>
    <n v="0"/>
    <n v="0"/>
    <n v="0"/>
    <n v="0"/>
    <n v="0"/>
    <n v="0"/>
    <n v="0"/>
    <n v="0"/>
    <n v="0"/>
  </r>
  <r>
    <x v="9"/>
    <s v="1773960-Tuck.com LLC-tuck.com"/>
    <n v="18"/>
    <n v="0"/>
    <n v="0"/>
    <n v="0"/>
    <n v="0"/>
    <n v="0"/>
    <n v="0"/>
    <n v="0"/>
    <n v="0"/>
    <n v="0"/>
    <n v="1773960"/>
    <x v="11"/>
    <s v="tuck.com"/>
    <n v="0"/>
    <n v="0"/>
    <n v="0"/>
    <n v="0"/>
    <n v="0"/>
    <n v="0"/>
    <n v="0"/>
    <n v="0"/>
    <n v="0"/>
    <n v="0"/>
    <n v="0"/>
    <n v="0"/>
    <n v="0"/>
  </r>
  <r>
    <x v="9"/>
    <s v="748814-Reviewed.com-www.reviewed.com"/>
    <n v="12"/>
    <n v="0"/>
    <n v="0"/>
    <n v="0"/>
    <n v="0"/>
    <n v="0"/>
    <n v="0"/>
    <n v="0"/>
    <n v="0"/>
    <n v="0"/>
    <n v="748814"/>
    <x v="13"/>
    <s v="www.reviewed.com"/>
    <n v="0"/>
    <n v="0"/>
    <n v="0"/>
    <n v="0"/>
    <n v="0"/>
    <n v="0"/>
    <n v="0"/>
    <n v="0"/>
    <n v="0"/>
    <n v="0"/>
    <n v="0"/>
    <n v="0"/>
    <n v="0"/>
  </r>
  <r>
    <x v="9"/>
    <s v="2284878-Tuck.com LLC-www.sleepfoundation.org/"/>
    <n v="6"/>
    <n v="0"/>
    <n v="0"/>
    <n v="0"/>
    <n v="0"/>
    <n v="0"/>
    <n v="0"/>
    <n v="0"/>
    <n v="0"/>
    <n v="0"/>
    <n v="2284878"/>
    <x v="11"/>
    <s v="www.sleepfoundation.org/"/>
    <n v="0"/>
    <n v="0"/>
    <n v="0"/>
    <n v="0"/>
    <n v="0"/>
    <n v="0"/>
    <n v="0"/>
    <n v="0"/>
    <n v="0"/>
    <n v="0"/>
    <n v="0"/>
    <n v="0"/>
    <n v="0"/>
  </r>
  <r>
    <x v="9"/>
    <s v="140995-Savings.com Inc-www.savings.com"/>
    <n v="5"/>
    <n v="0"/>
    <n v="0"/>
    <n v="0"/>
    <n v="0"/>
    <n v="0"/>
    <n v="0"/>
    <n v="0"/>
    <n v="0"/>
    <n v="0"/>
    <n v="140995"/>
    <x v="7"/>
    <s v="www.savings.com"/>
    <n v="0"/>
    <n v="0"/>
    <n v="0"/>
    <n v="0"/>
    <n v="0"/>
    <n v="0"/>
    <n v="0"/>
    <n v="0"/>
    <n v="0"/>
    <n v="0"/>
    <n v="0"/>
    <n v="0"/>
    <n v="0"/>
  </r>
  <r>
    <x v="9"/>
    <s v="1014069-Mutzel Nutrition LLC-highintensityhealth.com/"/>
    <n v="5"/>
    <n v="0"/>
    <n v="0"/>
    <n v="0"/>
    <n v="0"/>
    <n v="0"/>
    <n v="0"/>
    <n v="0"/>
    <n v="0"/>
    <n v="0"/>
    <n v="1014069"/>
    <x v="14"/>
    <s v="highintensityhealth.com/"/>
    <n v="0"/>
    <n v="0"/>
    <n v="0"/>
    <n v="0"/>
    <n v="0"/>
    <n v="0"/>
    <n v="0"/>
    <n v="0"/>
    <n v="0"/>
    <n v="0"/>
    <n v="0"/>
    <n v="0"/>
    <n v="0"/>
  </r>
  <r>
    <x v="9"/>
    <s v="1772040-Meredith Corporation-www.realsimple.com/"/>
    <n v="5"/>
    <n v="0"/>
    <n v="0"/>
    <n v="0"/>
    <n v="0"/>
    <n v="0"/>
    <n v="0"/>
    <n v="0"/>
    <n v="0"/>
    <n v="0"/>
    <n v="1772040"/>
    <x v="17"/>
    <s v="www.realsimple.com/"/>
    <n v="0"/>
    <n v="0"/>
    <n v="0"/>
    <n v="0"/>
    <n v="0"/>
    <n v="0"/>
    <n v="0"/>
    <n v="0"/>
    <n v="0"/>
    <n v="0"/>
    <n v="0"/>
    <n v="0"/>
    <n v="0"/>
  </r>
  <r>
    <x v="9"/>
    <s v="201285-12 Interactive LLC-www.perkspot.com"/>
    <n v="4"/>
    <n v="0"/>
    <n v="0"/>
    <n v="0"/>
    <n v="0"/>
    <n v="0"/>
    <n v="0"/>
    <n v="0"/>
    <n v="0"/>
    <n v="0"/>
    <n v="201285"/>
    <x v="5"/>
    <s v="www.perkspot.com"/>
    <n v="0"/>
    <n v="0"/>
    <n v="0"/>
    <n v="0"/>
    <n v="0"/>
    <n v="0"/>
    <n v="0"/>
    <n v="0"/>
    <n v="0"/>
    <n v="0"/>
    <n v="0"/>
    <n v="0"/>
    <n v="0"/>
  </r>
  <r>
    <x v="9"/>
    <s v="514792-CBS Interactive Inc.-www.cnet.com"/>
    <n v="4"/>
    <n v="0"/>
    <n v="0"/>
    <n v="0"/>
    <n v="0"/>
    <n v="0"/>
    <n v="0"/>
    <n v="0"/>
    <n v="0"/>
    <n v="0"/>
    <n v="514792"/>
    <x v="19"/>
    <s v="www.cnet.com"/>
    <n v="0"/>
    <n v="0"/>
    <n v="0"/>
    <n v="0"/>
    <n v="0"/>
    <n v="0"/>
    <n v="0"/>
    <n v="0"/>
    <n v="0"/>
    <n v="0"/>
    <n v="0"/>
    <n v="0"/>
    <n v="0"/>
  </r>
  <r>
    <x v="9"/>
    <s v="745788-digidip GmbH-digidip.net"/>
    <n v="4"/>
    <n v="0"/>
    <n v="0"/>
    <n v="0"/>
    <n v="0"/>
    <n v="0"/>
    <n v="0"/>
    <n v="0"/>
    <n v="0"/>
    <n v="0"/>
    <n v="745788"/>
    <x v="18"/>
    <s v="digidip.net"/>
    <n v="0"/>
    <n v="0"/>
    <n v="0"/>
    <n v="0"/>
    <n v="0"/>
    <n v="0"/>
    <n v="0"/>
    <n v="0"/>
    <n v="0"/>
    <n v="0"/>
    <n v="0"/>
    <n v="0"/>
    <n v="0"/>
  </r>
  <r>
    <x v="9"/>
    <s v="1413766-LinkGains (HK) Limited-www.hotdeals.com"/>
    <n v="4"/>
    <n v="0"/>
    <n v="0"/>
    <n v="0"/>
    <n v="0"/>
    <n v="0"/>
    <n v="0"/>
    <n v="0"/>
    <n v="0"/>
    <n v="0"/>
    <n v="1413766"/>
    <x v="16"/>
    <s v="www.hotdeals.com"/>
    <n v="0"/>
    <n v="0"/>
    <n v="0"/>
    <n v="0"/>
    <n v="0"/>
    <n v="0"/>
    <n v="0"/>
    <n v="0"/>
    <n v="0"/>
    <n v="0"/>
    <n v="0"/>
    <n v="0"/>
    <n v="0"/>
  </r>
  <r>
    <x v="9"/>
    <s v="1238556-YIELDKIT GmbH-yieldkit.com"/>
    <n v="3"/>
    <n v="0"/>
    <n v="0"/>
    <n v="0"/>
    <n v="0"/>
    <n v="0"/>
    <n v="0"/>
    <n v="0"/>
    <n v="0"/>
    <n v="0"/>
    <n v="1238556"/>
    <x v="3"/>
    <s v="yieldkit.com"/>
    <n v="0"/>
    <n v="0"/>
    <n v="0"/>
    <n v="0"/>
    <n v="0"/>
    <n v="0"/>
    <n v="0"/>
    <n v="0"/>
    <n v="0"/>
    <n v="0"/>
    <n v="0"/>
    <n v="0"/>
    <n v="0"/>
  </r>
  <r>
    <x v="9"/>
    <s v="1372745-SavvyShop-savvyshopworld.com"/>
    <n v="3"/>
    <n v="0"/>
    <n v="0"/>
    <n v="0"/>
    <n v="0"/>
    <n v="0"/>
    <n v="0"/>
    <n v="0"/>
    <n v="0"/>
    <n v="0"/>
    <n v="1372745"/>
    <x v="4"/>
    <s v="savvyshopworld.com"/>
    <n v="0"/>
    <n v="0"/>
    <n v="0"/>
    <n v="0"/>
    <n v="0"/>
    <n v="0"/>
    <n v="0"/>
    <n v="0"/>
    <n v="0"/>
    <n v="0"/>
    <n v="0"/>
    <n v="0"/>
    <n v="0"/>
  </r>
  <r>
    <x v="9"/>
    <s v="193744-shareasaleaffnl@rmn.com-www.retailmenot.com"/>
    <n v="2"/>
    <n v="0"/>
    <n v="0"/>
    <n v="0"/>
    <n v="0"/>
    <n v="0"/>
    <n v="0"/>
    <n v="0"/>
    <n v="0"/>
    <n v="0"/>
    <n v="193744"/>
    <x v="30"/>
    <s v="www.retailmenot.com"/>
    <n v="0"/>
    <n v="0"/>
    <n v="0"/>
    <n v="0"/>
    <n v="0"/>
    <n v="0"/>
    <n v="0"/>
    <n v="0"/>
    <n v="0"/>
    <n v="0"/>
    <n v="0"/>
    <n v="0"/>
    <n v="0"/>
  </r>
  <r>
    <x v="9"/>
    <s v="742098-adgoal GmbH-www.adgoal.net"/>
    <n v="2"/>
    <n v="0"/>
    <n v="0"/>
    <n v="0"/>
    <n v="0"/>
    <n v="0"/>
    <n v="0"/>
    <n v="0"/>
    <n v="0"/>
    <n v="0"/>
    <n v="742098"/>
    <x v="23"/>
    <s v="www.adgoal.net"/>
    <n v="0"/>
    <n v="0"/>
    <n v="0"/>
    <n v="0"/>
    <n v="0"/>
    <n v="0"/>
    <n v="0"/>
    <n v="0"/>
    <n v="0"/>
    <n v="0"/>
    <n v="0"/>
    <n v="0"/>
    <n v="0"/>
  </r>
  <r>
    <x v="9"/>
    <s v="1242889-RIZKNOWS LLC-www.rizknows.com"/>
    <n v="2"/>
    <n v="0"/>
    <n v="0"/>
    <n v="0"/>
    <n v="0"/>
    <n v="0"/>
    <n v="0"/>
    <n v="0"/>
    <n v="0"/>
    <n v="0"/>
    <n v="1242889"/>
    <x v="25"/>
    <s v="www.rizknows.com"/>
    <n v="0"/>
    <n v="0"/>
    <n v="0"/>
    <n v="0"/>
    <n v="0"/>
    <n v="0"/>
    <n v="0"/>
    <n v="0"/>
    <n v="0"/>
    <n v="0"/>
    <n v="0"/>
    <n v="0"/>
    <n v="0"/>
  </r>
  <r>
    <x v="9"/>
    <s v="1578665-Mattress Advisor LLC-sleepopolis.com"/>
    <n v="2"/>
    <n v="0"/>
    <n v="0"/>
    <n v="0"/>
    <n v="0"/>
    <n v="0"/>
    <n v="0"/>
    <n v="0"/>
    <n v="0"/>
    <n v="0"/>
    <n v="1578665"/>
    <x v="27"/>
    <s v="sleepopolis.com"/>
    <n v="0"/>
    <n v="0"/>
    <n v="0"/>
    <n v="0"/>
    <n v="0"/>
    <n v="0"/>
    <n v="0"/>
    <n v="0"/>
    <n v="0"/>
    <n v="0"/>
    <n v="0"/>
    <n v="0"/>
    <n v="0"/>
  </r>
  <r>
    <x v="9"/>
    <s v="1851859-TRAN ANH THAI-bestmaxcoupons.com/"/>
    <n v="2"/>
    <n v="0"/>
    <n v="0"/>
    <n v="0"/>
    <n v="0"/>
    <n v="0"/>
    <n v="0"/>
    <n v="0"/>
    <n v="0"/>
    <n v="0"/>
    <n v="1851859"/>
    <x v="77"/>
    <s v="bestmaxcoupons.com/"/>
    <n v="0"/>
    <n v="0"/>
    <n v="0"/>
    <n v="0"/>
    <n v="0"/>
    <n v="0"/>
    <n v="0"/>
    <n v="0"/>
    <n v="0"/>
    <n v="0"/>
    <n v="0"/>
    <n v="0"/>
    <n v="0"/>
  </r>
  <r>
    <x v="9"/>
    <s v="136482-Vertive LLC (Offers.com LLC.)-offers.com"/>
    <n v="1"/>
    <n v="0"/>
    <n v="0"/>
    <n v="0"/>
    <n v="0"/>
    <n v="0"/>
    <n v="0"/>
    <n v="0"/>
    <n v="0"/>
    <n v="0"/>
    <n v="136482"/>
    <x v="8"/>
    <s v="offers.com"/>
    <n v="0"/>
    <n v="0"/>
    <n v="0"/>
    <n v="0"/>
    <n v="0"/>
    <n v="0"/>
    <n v="0"/>
    <n v="0"/>
    <n v="0"/>
    <n v="0"/>
    <n v="0"/>
    <n v="0"/>
    <n v="0"/>
  </r>
  <r>
    <x v="9"/>
    <s v="154911-CouponCabin LLC-www.couponcabin.com"/>
    <n v="1"/>
    <n v="0"/>
    <n v="0"/>
    <n v="0"/>
    <n v="0"/>
    <n v="0"/>
    <n v="0"/>
    <n v="0"/>
    <n v="0"/>
    <n v="0"/>
    <n v="154911"/>
    <x v="21"/>
    <s v="www.couponcabin.com"/>
    <n v="0"/>
    <n v="0"/>
    <n v="0"/>
    <n v="0"/>
    <n v="0"/>
    <n v="0"/>
    <n v="0"/>
    <n v="0"/>
    <n v="0"/>
    <n v="0"/>
    <n v="0"/>
    <n v="0"/>
    <n v="0"/>
  </r>
  <r>
    <x v="9"/>
    <s v="213636-SurfMyAds.com-www.promocodes.com"/>
    <n v="1"/>
    <n v="0"/>
    <n v="0"/>
    <n v="0"/>
    <n v="0"/>
    <n v="0"/>
    <n v="0"/>
    <n v="0"/>
    <n v="0"/>
    <n v="0"/>
    <n v="213636"/>
    <x v="22"/>
    <s v="www.promocodes.com"/>
    <n v="0"/>
    <n v="0"/>
    <n v="0"/>
    <n v="0"/>
    <n v="0"/>
    <n v="0"/>
    <n v="0"/>
    <n v="0"/>
    <n v="0"/>
    <n v="0"/>
    <n v="0"/>
    <n v="0"/>
    <n v="0"/>
  </r>
  <r>
    <x v="9"/>
    <s v="318676-Capital Intellect Inc.-www.befrugal.com"/>
    <n v="1"/>
    <n v="0"/>
    <n v="0"/>
    <n v="0"/>
    <n v="0"/>
    <n v="0"/>
    <n v="0"/>
    <n v="0"/>
    <n v="0"/>
    <n v="0"/>
    <n v="318676"/>
    <x v="31"/>
    <s v="www.befrugal.com"/>
    <n v="0"/>
    <n v="0"/>
    <n v="0"/>
    <n v="0"/>
    <n v="0"/>
    <n v="0"/>
    <n v="0"/>
    <n v="0"/>
    <n v="0"/>
    <n v="0"/>
    <n v="0"/>
    <n v="0"/>
    <n v="0"/>
  </r>
  <r>
    <x v="9"/>
    <s v="1140999-Chichihaha Limited-www.couponbirds.com"/>
    <n v="1"/>
    <n v="0"/>
    <n v="0"/>
    <n v="0"/>
    <n v="0"/>
    <n v="0"/>
    <n v="0"/>
    <n v="0"/>
    <n v="0"/>
    <n v="0"/>
    <n v="1140999"/>
    <x v="40"/>
    <s v="www.couponbirds.com"/>
    <n v="0"/>
    <n v="0"/>
    <n v="0"/>
    <n v="0"/>
    <n v="0"/>
    <n v="0"/>
    <n v="0"/>
    <n v="0"/>
    <n v="0"/>
    <n v="0"/>
    <n v="0"/>
    <n v="0"/>
    <n v="0"/>
  </r>
  <r>
    <x v="9"/>
    <s v="1225169-Vox Media LLC-www.voxmedia.com/a/vm"/>
    <n v="1"/>
    <n v="0"/>
    <n v="0"/>
    <n v="0"/>
    <n v="0"/>
    <n v="0"/>
    <n v="0"/>
    <n v="0"/>
    <n v="0"/>
    <n v="0"/>
    <n v="1225169"/>
    <x v="24"/>
    <s v="www.voxmedia.com/a/vm"/>
    <n v="0"/>
    <n v="0"/>
    <n v="0"/>
    <n v="0"/>
    <n v="0"/>
    <n v="0"/>
    <n v="0"/>
    <n v="0"/>
    <n v="0"/>
    <n v="0"/>
    <n v="0"/>
    <n v="0"/>
    <n v="0"/>
  </r>
  <r>
    <x v="9"/>
    <s v="1273061-BRAND REWARD (HONG KONG) LIMITED-www.brandreward.com/"/>
    <n v="1"/>
    <n v="0"/>
    <n v="0"/>
    <n v="0"/>
    <n v="0"/>
    <n v="0"/>
    <n v="0"/>
    <n v="0"/>
    <n v="0"/>
    <n v="0"/>
    <n v="1273061"/>
    <x v="33"/>
    <s v="www.brandreward.com/"/>
    <n v="0"/>
    <n v="0"/>
    <n v="0"/>
    <n v="0"/>
    <n v="0"/>
    <n v="0"/>
    <n v="0"/>
    <n v="0"/>
    <n v="0"/>
    <n v="0"/>
    <n v="0"/>
    <n v="0"/>
    <n v="0"/>
  </r>
  <r>
    <x v="9"/>
    <s v="1307407-VerticalScope Inc.-thesleepjudge.com"/>
    <n v="1"/>
    <n v="0"/>
    <n v="0"/>
    <n v="0"/>
    <n v="0"/>
    <n v="0"/>
    <n v="0"/>
    <n v="0"/>
    <n v="0"/>
    <n v="0"/>
    <n v="1307407"/>
    <x v="34"/>
    <s v="thesleepjudge.com"/>
    <n v="0"/>
    <n v="0"/>
    <n v="0"/>
    <n v="0"/>
    <n v="0"/>
    <n v="0"/>
    <n v="0"/>
    <n v="0"/>
    <n v="0"/>
    <n v="0"/>
    <n v="0"/>
    <n v="0"/>
    <n v="0"/>
  </r>
  <r>
    <x v="9"/>
    <s v="1649859-Mattress Advisor-www.mattressadvisor.com/"/>
    <n v="1"/>
    <n v="0"/>
    <n v="0"/>
    <n v="0"/>
    <n v="0"/>
    <n v="0"/>
    <n v="0"/>
    <n v="0"/>
    <n v="0"/>
    <n v="0"/>
    <n v="1649859"/>
    <x v="69"/>
    <s v="www.mattressadvisor.com/"/>
    <n v="0"/>
    <n v="0"/>
    <n v="0"/>
    <n v="0"/>
    <n v="0"/>
    <n v="0"/>
    <n v="0"/>
    <n v="0"/>
    <n v="0"/>
    <n v="0"/>
    <n v="0"/>
    <n v="0"/>
    <n v="0"/>
  </r>
  <r>
    <x v="9"/>
    <s v="1693896-Karen Shopoff Rooff-www.wellbalancedwomen.com"/>
    <n v="1"/>
    <n v="0"/>
    <n v="0"/>
    <n v="0"/>
    <n v="0"/>
    <n v="0"/>
    <n v="0"/>
    <n v="0"/>
    <n v="0"/>
    <n v="0"/>
    <n v="1693896"/>
    <x v="78"/>
    <s v="www.wellbalancedwomen.com"/>
    <n v="0"/>
    <n v="0"/>
    <n v="0"/>
    <n v="0"/>
    <n v="0"/>
    <n v="0"/>
    <n v="0"/>
    <n v="0"/>
    <n v="0"/>
    <n v="0"/>
    <n v="0"/>
    <n v="0"/>
    <n v="0"/>
  </r>
  <r>
    <x v="9"/>
    <s v="1778626-Syed Hammad Hussain-www.couponsvolcano.com"/>
    <n v="1"/>
    <n v="0"/>
    <n v="0"/>
    <n v="0"/>
    <n v="0"/>
    <n v="0"/>
    <n v="0"/>
    <n v="0"/>
    <n v="0"/>
    <n v="0"/>
    <n v="1778626"/>
    <x v="52"/>
    <s v="www.couponsvolcano.com"/>
    <n v="0"/>
    <n v="0"/>
    <n v="0"/>
    <n v="0"/>
    <n v="0"/>
    <n v="0"/>
    <n v="0"/>
    <n v="0"/>
    <n v="0"/>
    <n v="0"/>
    <n v="0"/>
    <n v="0"/>
    <n v="0"/>
  </r>
  <r>
    <x v="9"/>
    <s v="2015681-Fresh Healthy Media LLC-vegnews.com/"/>
    <n v="1"/>
    <n v="0"/>
    <n v="0"/>
    <n v="0"/>
    <n v="0"/>
    <n v="0"/>
    <n v="0"/>
    <n v="0"/>
    <n v="0"/>
    <n v="0"/>
    <n v="2015681"/>
    <x v="62"/>
    <s v="vegnews.com/"/>
    <n v="0"/>
    <n v="0"/>
    <n v="0"/>
    <n v="0"/>
    <n v="0"/>
    <n v="0"/>
    <n v="0"/>
    <n v="0"/>
    <n v="0"/>
    <n v="0"/>
    <n v="0"/>
    <n v="0"/>
    <n v="0"/>
  </r>
  <r>
    <x v="9"/>
    <s v="2029250-CNN Interactive Group-www.cnn.com/cnn-underscored/"/>
    <n v="1"/>
    <n v="0"/>
    <n v="0"/>
    <n v="0"/>
    <n v="0"/>
    <n v="0"/>
    <n v="0"/>
    <n v="0"/>
    <n v="0"/>
    <n v="0"/>
    <n v="2029250"/>
    <x v="41"/>
    <s v="www.cnn.com/cnn-underscored/"/>
    <n v="0"/>
    <n v="0"/>
    <n v="0"/>
    <n v="0"/>
    <n v="0"/>
    <n v="0"/>
    <n v="0"/>
    <n v="0"/>
    <n v="0"/>
    <n v="0"/>
    <n v="0"/>
    <n v="0"/>
    <n v="0"/>
  </r>
  <r>
    <x v="9"/>
    <s v="2182271-Promo Codes Guide LLC-www.promocodes.guide"/>
    <n v="1"/>
    <n v="0"/>
    <n v="0"/>
    <n v="0"/>
    <n v="0"/>
    <n v="0"/>
    <n v="0"/>
    <n v="0"/>
    <n v="0"/>
    <n v="0"/>
    <n v="2182271"/>
    <x v="2"/>
    <s v="www.promocodes.guide"/>
    <n v="0"/>
    <n v="0"/>
    <n v="0"/>
    <n v="0"/>
    <n v="0"/>
    <n v="0"/>
    <n v="0"/>
    <n v="0"/>
    <n v="0"/>
    <n v="0"/>
    <n v="0"/>
    <n v="0"/>
    <n v="0"/>
  </r>
  <r>
    <x v="10"/>
    <s v="445875-Demand.io-knoji.com"/>
    <n v="13"/>
    <n v="417.83"/>
    <n v="0"/>
    <n v="417.83"/>
    <n v="4"/>
    <n v="0"/>
    <n v="12.53"/>
    <n v="30.77"/>
    <n v="96.38"/>
    <n v="104.46"/>
    <n v="445875"/>
    <x v="6"/>
    <s v="knoji.com"/>
    <n v="4"/>
    <n v="0"/>
    <n v="0"/>
    <n v="0"/>
    <n v="0"/>
    <n v="0"/>
    <n v="12.53"/>
    <n v="0"/>
    <n v="0"/>
    <n v="0"/>
    <n v="0"/>
    <n v="0"/>
    <n v="2.5099999999999998"/>
  </r>
  <r>
    <x v="10"/>
    <s v="136482-Vertive LLC (Offers.com LLC.)-offers.com"/>
    <n v="2"/>
    <n v="323.2"/>
    <n v="0"/>
    <n v="323.2"/>
    <n v="1"/>
    <n v="0"/>
    <n v="9.6999999999999993"/>
    <n v="50"/>
    <n v="485"/>
    <n v="323.2"/>
    <n v="136482"/>
    <x v="8"/>
    <s v="offers.com"/>
    <n v="1"/>
    <n v="0"/>
    <n v="0"/>
    <n v="0"/>
    <n v="0"/>
    <n v="0"/>
    <n v="9.6999999999999993"/>
    <n v="0"/>
    <n v="0"/>
    <n v="0"/>
    <n v="0"/>
    <n v="0"/>
    <n v="1.94"/>
  </r>
  <r>
    <x v="10"/>
    <s v="1584217-Trends Green-topnaturalmattresses.com"/>
    <n v="52"/>
    <n v="189"/>
    <n v="0"/>
    <n v="189"/>
    <n v="1"/>
    <n v="0"/>
    <n v="28.35"/>
    <n v="1.92"/>
    <n v="54.52"/>
    <n v="189"/>
    <n v="1584217"/>
    <x v="10"/>
    <s v="topnaturalmattresses.com"/>
    <n v="1"/>
    <n v="0"/>
    <n v="0"/>
    <n v="0"/>
    <n v="0"/>
    <n v="0"/>
    <n v="28.35"/>
    <n v="0"/>
    <n v="0"/>
    <n v="0"/>
    <n v="0"/>
    <n v="0"/>
    <n v="5.67"/>
  </r>
  <r>
    <x v="10"/>
    <s v="1663605-GSG North America LLC-coupons.businessinsider.com/"/>
    <n v="1"/>
    <n v="186.48"/>
    <n v="0"/>
    <n v="186.48"/>
    <n v="1"/>
    <n v="0"/>
    <n v="18.649999999999999"/>
    <n v="100"/>
    <n v="1865"/>
    <n v="186.48"/>
    <n v="1663605"/>
    <x v="47"/>
    <s v="coupons.businessinsider.com/"/>
    <n v="1"/>
    <n v="0"/>
    <n v="0"/>
    <n v="0"/>
    <n v="0"/>
    <n v="0"/>
    <n v="18.649999999999999"/>
    <n v="0"/>
    <n v="0"/>
    <n v="0"/>
    <n v="0"/>
    <n v="0"/>
    <n v="3.73"/>
  </r>
  <r>
    <x v="10"/>
    <s v="748814-Reviewed.com-www.reviewed.com"/>
    <n v="20"/>
    <n v="184.5"/>
    <n v="0"/>
    <n v="184.5"/>
    <n v="1"/>
    <n v="0"/>
    <n v="33.21"/>
    <n v="5"/>
    <n v="166.05"/>
    <n v="184.5"/>
    <n v="748814"/>
    <x v="13"/>
    <s v="www.reviewed.com"/>
    <n v="1"/>
    <n v="0"/>
    <n v="0"/>
    <n v="0"/>
    <n v="0"/>
    <n v="0"/>
    <n v="33.21"/>
    <n v="0"/>
    <n v="0"/>
    <n v="0"/>
    <n v="0"/>
    <n v="0"/>
    <n v="6.64"/>
  </r>
  <r>
    <x v="10"/>
    <s v="389818-VigLink Inc.-www.viglink.com"/>
    <n v="23"/>
    <n v="163.46"/>
    <n v="0"/>
    <n v="163.46"/>
    <n v="1"/>
    <n v="0"/>
    <n v="4.9000000000000004"/>
    <n v="4.3499999999999996"/>
    <n v="21.3"/>
    <n v="163.46"/>
    <n v="389818"/>
    <x v="15"/>
    <s v="www.viglink.com"/>
    <n v="1"/>
    <n v="0"/>
    <n v="0"/>
    <n v="0"/>
    <n v="0"/>
    <n v="0"/>
    <n v="4.9000000000000004"/>
    <n v="0"/>
    <n v="0"/>
    <n v="0"/>
    <n v="0"/>
    <n v="0"/>
    <n v="0.98"/>
  </r>
  <r>
    <x v="10"/>
    <s v="314743-Skimbit Ltd-skimlinks.com"/>
    <n v="123"/>
    <n v="163.16999999999999"/>
    <n v="0"/>
    <n v="163.16999999999999"/>
    <n v="1"/>
    <n v="0"/>
    <n v="24.48"/>
    <n v="0.81"/>
    <n v="19.899999999999999"/>
    <n v="163.16999999999999"/>
    <n v="314743"/>
    <x v="9"/>
    <s v="skimlinks.com"/>
    <n v="1"/>
    <n v="0"/>
    <n v="0"/>
    <n v="0"/>
    <n v="0"/>
    <n v="0"/>
    <n v="24.48"/>
    <n v="0"/>
    <n v="0"/>
    <n v="0"/>
    <n v="0"/>
    <n v="0"/>
    <n v="4.9000000000000004"/>
  </r>
  <r>
    <x v="10"/>
    <s v="1088116-Business Insider Inc.-www.businessinsider.com"/>
    <n v="48"/>
    <n v="148.16"/>
    <n v="0"/>
    <n v="148.16"/>
    <n v="1"/>
    <n v="0"/>
    <n v="29.63"/>
    <n v="2.08"/>
    <n v="61.73"/>
    <n v="148.16"/>
    <n v="1088116"/>
    <x v="0"/>
    <s v="www.businessinsider.com"/>
    <n v="1"/>
    <n v="0"/>
    <n v="0"/>
    <n v="0"/>
    <n v="0"/>
    <n v="0"/>
    <n v="29.63"/>
    <n v="0"/>
    <n v="0"/>
    <n v="0"/>
    <n v="0"/>
    <n v="0"/>
    <n v="5.93"/>
  </r>
  <r>
    <x v="10"/>
    <s v="2182271-Promo Codes Guide LLC-www.promocodes.guide"/>
    <n v="1"/>
    <n v="147.6"/>
    <n v="0"/>
    <n v="147.6"/>
    <n v="1"/>
    <n v="0"/>
    <n v="4.43"/>
    <n v="100"/>
    <n v="443"/>
    <n v="147.6"/>
    <n v="2182271"/>
    <x v="2"/>
    <s v="www.promocodes.guide"/>
    <n v="1"/>
    <n v="0"/>
    <n v="0"/>
    <n v="0"/>
    <n v="0"/>
    <n v="0"/>
    <n v="4.43"/>
    <n v="0"/>
    <n v="0"/>
    <n v="0"/>
    <n v="0"/>
    <n v="0"/>
    <n v="0.89"/>
  </r>
  <r>
    <x v="10"/>
    <s v="725033-ID.me Inc.-shop.id.me"/>
    <n v="58"/>
    <n v="0"/>
    <n v="0"/>
    <n v="0"/>
    <n v="0"/>
    <n v="0"/>
    <n v="0"/>
    <n v="0"/>
    <n v="0"/>
    <n v="0"/>
    <n v="725033"/>
    <x v="1"/>
    <s v="shop.id.me"/>
    <n v="0"/>
    <n v="0"/>
    <n v="0"/>
    <n v="0"/>
    <n v="0"/>
    <n v="0"/>
    <n v="0"/>
    <n v="0"/>
    <n v="0"/>
    <n v="0"/>
    <n v="0"/>
    <n v="0"/>
    <n v="0"/>
  </r>
  <r>
    <x v="10"/>
    <s v="1773960-Tuck.com LLC-tuck.com"/>
    <n v="23"/>
    <n v="0"/>
    <n v="0"/>
    <n v="0"/>
    <n v="0"/>
    <n v="0"/>
    <n v="0"/>
    <n v="0"/>
    <n v="0"/>
    <n v="0"/>
    <n v="1773960"/>
    <x v="11"/>
    <s v="tuck.com"/>
    <n v="0"/>
    <n v="0"/>
    <n v="0"/>
    <n v="0"/>
    <n v="0"/>
    <n v="0"/>
    <n v="0"/>
    <n v="0"/>
    <n v="0"/>
    <n v="0"/>
    <n v="0"/>
    <n v="0"/>
    <n v="0"/>
  </r>
  <r>
    <x v="10"/>
    <s v="201285-12 Interactive LLC-www.perkspot.com"/>
    <n v="17"/>
    <n v="0"/>
    <n v="0"/>
    <n v="0"/>
    <n v="0"/>
    <n v="0"/>
    <n v="0"/>
    <n v="0"/>
    <n v="0"/>
    <n v="0"/>
    <n v="201285"/>
    <x v="5"/>
    <s v="www.perkspot.com"/>
    <n v="0"/>
    <n v="0"/>
    <n v="0"/>
    <n v="0"/>
    <n v="0"/>
    <n v="0"/>
    <n v="0"/>
    <n v="0"/>
    <n v="0"/>
    <n v="0"/>
    <n v="0"/>
    <n v="0"/>
    <n v="0"/>
  </r>
  <r>
    <x v="10"/>
    <s v="140995-Savings.com Inc-www.savings.com"/>
    <n v="10"/>
    <n v="0"/>
    <n v="0"/>
    <n v="0"/>
    <n v="0"/>
    <n v="0"/>
    <n v="0"/>
    <n v="0"/>
    <n v="0"/>
    <n v="0"/>
    <n v="140995"/>
    <x v="7"/>
    <s v="www.savings.com"/>
    <n v="0"/>
    <n v="0"/>
    <n v="0"/>
    <n v="0"/>
    <n v="0"/>
    <n v="0"/>
    <n v="0"/>
    <n v="0"/>
    <n v="0"/>
    <n v="0"/>
    <n v="0"/>
    <n v="0"/>
    <n v="0"/>
  </r>
  <r>
    <x v="10"/>
    <s v="2284878-Tuck.com LLC-www.sleepfoundation.org/"/>
    <n v="10"/>
    <n v="0"/>
    <n v="0"/>
    <n v="0"/>
    <n v="0"/>
    <n v="0"/>
    <n v="0"/>
    <n v="0"/>
    <n v="0"/>
    <n v="0"/>
    <n v="2284878"/>
    <x v="11"/>
    <s v="www.sleepfoundation.org/"/>
    <n v="0"/>
    <n v="0"/>
    <n v="0"/>
    <n v="0"/>
    <n v="0"/>
    <n v="0"/>
    <n v="0"/>
    <n v="0"/>
    <n v="0"/>
    <n v="0"/>
    <n v="0"/>
    <n v="0"/>
    <n v="0"/>
  </r>
  <r>
    <x v="10"/>
    <s v="2053730-WW Affiliate-www.yourbestmattress247.com"/>
    <n v="5"/>
    <n v="0"/>
    <n v="0"/>
    <n v="0"/>
    <n v="0"/>
    <n v="0"/>
    <n v="0"/>
    <n v="0"/>
    <n v="0"/>
    <n v="0"/>
    <n v="2053730"/>
    <x v="12"/>
    <s v="www.yourbestmattress247.com"/>
    <n v="0"/>
    <n v="0"/>
    <n v="0"/>
    <n v="0"/>
    <n v="0"/>
    <n v="0"/>
    <n v="0"/>
    <n v="0"/>
    <n v="0"/>
    <n v="0"/>
    <n v="0"/>
    <n v="0"/>
    <n v="0"/>
  </r>
  <r>
    <x v="10"/>
    <s v="514792-CBS Interactive Inc.-www.cnet.com"/>
    <n v="4"/>
    <n v="0"/>
    <n v="0"/>
    <n v="0"/>
    <n v="0"/>
    <n v="0"/>
    <n v="0"/>
    <n v="0"/>
    <n v="0"/>
    <n v="0"/>
    <n v="514792"/>
    <x v="19"/>
    <s v="www.cnet.com"/>
    <n v="0"/>
    <n v="0"/>
    <n v="0"/>
    <n v="0"/>
    <n v="0"/>
    <n v="0"/>
    <n v="0"/>
    <n v="0"/>
    <n v="0"/>
    <n v="0"/>
    <n v="0"/>
    <n v="0"/>
    <n v="0"/>
  </r>
  <r>
    <x v="10"/>
    <s v="745788-digidip GmbH-digidip.net"/>
    <n v="4"/>
    <n v="0"/>
    <n v="0"/>
    <n v="0"/>
    <n v="0"/>
    <n v="0"/>
    <n v="0"/>
    <n v="0"/>
    <n v="0"/>
    <n v="0"/>
    <n v="745788"/>
    <x v="18"/>
    <s v="digidip.net"/>
    <n v="0"/>
    <n v="0"/>
    <n v="0"/>
    <n v="0"/>
    <n v="0"/>
    <n v="0"/>
    <n v="0"/>
    <n v="0"/>
    <n v="0"/>
    <n v="0"/>
    <n v="0"/>
    <n v="0"/>
    <n v="0"/>
  </r>
  <r>
    <x v="10"/>
    <s v="1242889-RIZKNOWS LLC-www.rizknows.com"/>
    <n v="3"/>
    <n v="0"/>
    <n v="0"/>
    <n v="0"/>
    <n v="0"/>
    <n v="0"/>
    <n v="0"/>
    <n v="0"/>
    <n v="0"/>
    <n v="0"/>
    <n v="1242889"/>
    <x v="25"/>
    <s v="www.rizknows.com"/>
    <n v="0"/>
    <n v="0"/>
    <n v="0"/>
    <n v="0"/>
    <n v="0"/>
    <n v="0"/>
    <n v="0"/>
    <n v="0"/>
    <n v="0"/>
    <n v="0"/>
    <n v="0"/>
    <n v="0"/>
    <n v="0"/>
  </r>
  <r>
    <x v="10"/>
    <s v="2364026-OutWork24-fallingasleep.net"/>
    <n v="3"/>
    <n v="0"/>
    <n v="0"/>
    <n v="0"/>
    <n v="0"/>
    <n v="0"/>
    <n v="0"/>
    <n v="0"/>
    <n v="0"/>
    <n v="0"/>
    <n v="2364026"/>
    <x v="67"/>
    <s v="fallingasleep.net"/>
    <n v="0"/>
    <n v="0"/>
    <n v="0"/>
    <n v="0"/>
    <n v="0"/>
    <n v="0"/>
    <n v="0"/>
    <n v="0"/>
    <n v="0"/>
    <n v="0"/>
    <n v="0"/>
    <n v="0"/>
    <n v="0"/>
  </r>
  <r>
    <x v="10"/>
    <s v="154911-CouponCabin LLC-www.couponcabin.com"/>
    <n v="2"/>
    <n v="0"/>
    <n v="0"/>
    <n v="0"/>
    <n v="0"/>
    <n v="0"/>
    <n v="0"/>
    <n v="0"/>
    <n v="0"/>
    <n v="0"/>
    <n v="154911"/>
    <x v="21"/>
    <s v="www.couponcabin.com"/>
    <n v="0"/>
    <n v="0"/>
    <n v="0"/>
    <n v="0"/>
    <n v="0"/>
    <n v="0"/>
    <n v="0"/>
    <n v="0"/>
    <n v="0"/>
    <n v="0"/>
    <n v="0"/>
    <n v="0"/>
    <n v="0"/>
  </r>
  <r>
    <x v="10"/>
    <s v="213636-SurfMyAds.com-www.promocodes.com"/>
    <n v="2"/>
    <n v="0"/>
    <n v="0"/>
    <n v="0"/>
    <n v="0"/>
    <n v="0"/>
    <n v="0"/>
    <n v="0"/>
    <n v="0"/>
    <n v="0"/>
    <n v="213636"/>
    <x v="22"/>
    <s v="www.promocodes.com"/>
    <n v="0"/>
    <n v="0"/>
    <n v="0"/>
    <n v="0"/>
    <n v="0"/>
    <n v="0"/>
    <n v="0"/>
    <n v="0"/>
    <n v="0"/>
    <n v="0"/>
    <n v="0"/>
    <n v="0"/>
    <n v="0"/>
  </r>
  <r>
    <x v="10"/>
    <s v="1014069-Mutzel Nutrition LLC-highintensityhealth.com/"/>
    <n v="2"/>
    <n v="0"/>
    <n v="0"/>
    <n v="0"/>
    <n v="0"/>
    <n v="0"/>
    <n v="0"/>
    <n v="0"/>
    <n v="0"/>
    <n v="0"/>
    <n v="1014069"/>
    <x v="14"/>
    <s v="highintensityhealth.com/"/>
    <n v="0"/>
    <n v="0"/>
    <n v="0"/>
    <n v="0"/>
    <n v="0"/>
    <n v="0"/>
    <n v="0"/>
    <n v="0"/>
    <n v="0"/>
    <n v="0"/>
    <n v="0"/>
    <n v="0"/>
    <n v="0"/>
  </r>
  <r>
    <x v="10"/>
    <s v="1372745-SavvyShop-savvyshopworld.com"/>
    <n v="2"/>
    <n v="0"/>
    <n v="0"/>
    <n v="0"/>
    <n v="0"/>
    <n v="0"/>
    <n v="0"/>
    <n v="0"/>
    <n v="0"/>
    <n v="0"/>
    <n v="1372745"/>
    <x v="4"/>
    <s v="savvyshopworld.com"/>
    <n v="0"/>
    <n v="0"/>
    <n v="0"/>
    <n v="0"/>
    <n v="0"/>
    <n v="0"/>
    <n v="0"/>
    <n v="0"/>
    <n v="0"/>
    <n v="0"/>
    <n v="0"/>
    <n v="0"/>
    <n v="0"/>
  </r>
  <r>
    <x v="10"/>
    <s v="1413766-LinkGains (HK) Limited-www.hotdeals.com"/>
    <n v="2"/>
    <n v="0"/>
    <n v="0"/>
    <n v="0"/>
    <n v="0"/>
    <n v="0"/>
    <n v="0"/>
    <n v="0"/>
    <n v="0"/>
    <n v="0"/>
    <n v="1413766"/>
    <x v="16"/>
    <s v="www.hotdeals.com"/>
    <n v="0"/>
    <n v="0"/>
    <n v="0"/>
    <n v="0"/>
    <n v="0"/>
    <n v="0"/>
    <n v="0"/>
    <n v="0"/>
    <n v="0"/>
    <n v="0"/>
    <n v="0"/>
    <n v="0"/>
    <n v="0"/>
  </r>
  <r>
    <x v="10"/>
    <s v="1578665-Mattress Advisor LLC-sleepopolis.com"/>
    <n v="2"/>
    <n v="0"/>
    <n v="0"/>
    <n v="0"/>
    <n v="0"/>
    <n v="0"/>
    <n v="0"/>
    <n v="0"/>
    <n v="0"/>
    <n v="0"/>
    <n v="1578665"/>
    <x v="27"/>
    <s v="sleepopolis.com"/>
    <n v="0"/>
    <n v="0"/>
    <n v="0"/>
    <n v="0"/>
    <n v="0"/>
    <n v="0"/>
    <n v="0"/>
    <n v="0"/>
    <n v="0"/>
    <n v="0"/>
    <n v="0"/>
    <n v="0"/>
    <n v="0"/>
  </r>
  <r>
    <x v="10"/>
    <s v="1772040-Meredith Corporation-www.realsimple.com/"/>
    <n v="2"/>
    <n v="0"/>
    <n v="0"/>
    <n v="0"/>
    <n v="0"/>
    <n v="0"/>
    <n v="0"/>
    <n v="0"/>
    <n v="0"/>
    <n v="0"/>
    <n v="1772040"/>
    <x v="17"/>
    <s v="www.realsimple.com/"/>
    <n v="0"/>
    <n v="0"/>
    <n v="0"/>
    <n v="0"/>
    <n v="0"/>
    <n v="0"/>
    <n v="0"/>
    <n v="0"/>
    <n v="0"/>
    <n v="0"/>
    <n v="0"/>
    <n v="0"/>
    <n v="0"/>
  </r>
  <r>
    <x v="10"/>
    <s v="2316883-HigherDOSE LLC-higherdose.com/"/>
    <n v="2"/>
    <n v="0"/>
    <n v="0"/>
    <n v="0"/>
    <n v="0"/>
    <n v="0"/>
    <n v="0"/>
    <n v="0"/>
    <n v="0"/>
    <n v="0"/>
    <n v="2316883"/>
    <x v="58"/>
    <s v="higherdose.com/"/>
    <n v="0"/>
    <n v="0"/>
    <n v="0"/>
    <n v="0"/>
    <n v="0"/>
    <n v="0"/>
    <n v="0"/>
    <n v="0"/>
    <n v="0"/>
    <n v="0"/>
    <n v="0"/>
    <n v="0"/>
    <n v="0"/>
  </r>
  <r>
    <x v="10"/>
    <s v="318676-Capital Intellect Inc.-www.befrugal.com"/>
    <n v="1"/>
    <n v="0"/>
    <n v="0"/>
    <n v="0"/>
    <n v="0"/>
    <n v="0"/>
    <n v="0"/>
    <n v="0"/>
    <n v="0"/>
    <n v="0"/>
    <n v="318676"/>
    <x v="31"/>
    <s v="www.befrugal.com"/>
    <n v="0"/>
    <n v="0"/>
    <n v="0"/>
    <n v="0"/>
    <n v="0"/>
    <n v="0"/>
    <n v="0"/>
    <n v="0"/>
    <n v="0"/>
    <n v="0"/>
    <n v="0"/>
    <n v="0"/>
    <n v="0"/>
  </r>
  <r>
    <x v="10"/>
    <s v="742098-adgoal GmbH-www.adgoal.net"/>
    <n v="1"/>
    <n v="0"/>
    <n v="0"/>
    <n v="0"/>
    <n v="0"/>
    <n v="0"/>
    <n v="0"/>
    <n v="0"/>
    <n v="0"/>
    <n v="0"/>
    <n v="742098"/>
    <x v="23"/>
    <s v="www.adgoal.net"/>
    <n v="0"/>
    <n v="0"/>
    <n v="0"/>
    <n v="0"/>
    <n v="0"/>
    <n v="0"/>
    <n v="0"/>
    <n v="0"/>
    <n v="0"/>
    <n v="0"/>
    <n v="0"/>
    <n v="0"/>
    <n v="0"/>
  </r>
  <r>
    <x v="10"/>
    <s v="930703-Antifragile Fit-antifragile.fit"/>
    <n v="1"/>
    <n v="0"/>
    <n v="0"/>
    <n v="0"/>
    <n v="0"/>
    <n v="0"/>
    <n v="0"/>
    <n v="0"/>
    <n v="0"/>
    <n v="0"/>
    <n v="930703"/>
    <x v="43"/>
    <s v="antifragile.fit"/>
    <n v="0"/>
    <n v="0"/>
    <n v="0"/>
    <n v="0"/>
    <n v="0"/>
    <n v="0"/>
    <n v="0"/>
    <n v="0"/>
    <n v="0"/>
    <n v="0"/>
    <n v="0"/>
    <n v="0"/>
    <n v="0"/>
  </r>
  <r>
    <x v="10"/>
    <s v="1007528-Buy Like Me Inc-www.sleepdelivered.com"/>
    <n v="1"/>
    <n v="0"/>
    <n v="0"/>
    <n v="0"/>
    <n v="0"/>
    <n v="0"/>
    <n v="0"/>
    <n v="0"/>
    <n v="0"/>
    <n v="0"/>
    <n v="1007528"/>
    <x v="73"/>
    <s v="www.sleepdelivered.com"/>
    <n v="0"/>
    <n v="0"/>
    <n v="0"/>
    <n v="0"/>
    <n v="0"/>
    <n v="0"/>
    <n v="0"/>
    <n v="0"/>
    <n v="0"/>
    <n v="0"/>
    <n v="0"/>
    <n v="0"/>
    <n v="0"/>
  </r>
  <r>
    <x v="10"/>
    <s v="1140999-Chichihaha Limited-www.couponbirds.com"/>
    <n v="1"/>
    <n v="0"/>
    <n v="0"/>
    <n v="0"/>
    <n v="0"/>
    <n v="0"/>
    <n v="0"/>
    <n v="0"/>
    <n v="0"/>
    <n v="0"/>
    <n v="1140999"/>
    <x v="40"/>
    <s v="www.couponbirds.com"/>
    <n v="0"/>
    <n v="0"/>
    <n v="0"/>
    <n v="0"/>
    <n v="0"/>
    <n v="0"/>
    <n v="0"/>
    <n v="0"/>
    <n v="0"/>
    <n v="0"/>
    <n v="0"/>
    <n v="0"/>
    <n v="0"/>
  </r>
  <r>
    <x v="10"/>
    <s v="1238556-YIELDKIT GmbH-yieldkit.com"/>
    <n v="1"/>
    <n v="0"/>
    <n v="0"/>
    <n v="0"/>
    <n v="0"/>
    <n v="0"/>
    <n v="0"/>
    <n v="0"/>
    <n v="0"/>
    <n v="0"/>
    <n v="1238556"/>
    <x v="3"/>
    <s v="yieldkit.com"/>
    <n v="0"/>
    <n v="0"/>
    <n v="0"/>
    <n v="0"/>
    <n v="0"/>
    <n v="0"/>
    <n v="0"/>
    <n v="0"/>
    <n v="0"/>
    <n v="0"/>
    <n v="0"/>
    <n v="0"/>
    <n v="0"/>
  </r>
  <r>
    <x v="10"/>
    <s v="1273061-BRAND REWARD (HONG KONG) LIMITED-www.brandreward.com/"/>
    <n v="1"/>
    <n v="0"/>
    <n v="0"/>
    <n v="0"/>
    <n v="0"/>
    <n v="0"/>
    <n v="0"/>
    <n v="0"/>
    <n v="0"/>
    <n v="0"/>
    <n v="1273061"/>
    <x v="33"/>
    <s v="www.brandreward.com/"/>
    <n v="0"/>
    <n v="0"/>
    <n v="0"/>
    <n v="0"/>
    <n v="0"/>
    <n v="0"/>
    <n v="0"/>
    <n v="0"/>
    <n v="0"/>
    <n v="0"/>
    <n v="0"/>
    <n v="0"/>
    <n v="0"/>
  </r>
  <r>
    <x v="10"/>
    <s v="1307407-VerticalScope Inc.-thesleepjudge.com"/>
    <n v="1"/>
    <n v="0"/>
    <n v="0"/>
    <n v="0"/>
    <n v="0"/>
    <n v="0"/>
    <n v="0"/>
    <n v="0"/>
    <n v="0"/>
    <n v="0"/>
    <n v="1307407"/>
    <x v="34"/>
    <s v="thesleepjudge.com"/>
    <n v="0"/>
    <n v="0"/>
    <n v="0"/>
    <n v="0"/>
    <n v="0"/>
    <n v="0"/>
    <n v="0"/>
    <n v="0"/>
    <n v="0"/>
    <n v="0"/>
    <n v="0"/>
    <n v="0"/>
    <n v="0"/>
  </r>
  <r>
    <x v="10"/>
    <s v="1538097-Wildfire Systems Inc.-wildfire-corp.com"/>
    <n v="1"/>
    <n v="0"/>
    <n v="0"/>
    <n v="0"/>
    <n v="0"/>
    <n v="0"/>
    <n v="0"/>
    <n v="0"/>
    <n v="0"/>
    <n v="0"/>
    <n v="1538097"/>
    <x v="36"/>
    <s v="wildfire-corp.com"/>
    <n v="0"/>
    <n v="0"/>
    <n v="0"/>
    <n v="0"/>
    <n v="0"/>
    <n v="0"/>
    <n v="0"/>
    <n v="0"/>
    <n v="0"/>
    <n v="0"/>
    <n v="0"/>
    <n v="0"/>
    <n v="0"/>
  </r>
  <r>
    <x v="10"/>
    <s v="2015681-Fresh Healthy Media LLC-vegnews.com/"/>
    <n v="1"/>
    <n v="0"/>
    <n v="0"/>
    <n v="0"/>
    <n v="0"/>
    <n v="0"/>
    <n v="0"/>
    <n v="0"/>
    <n v="0"/>
    <n v="0"/>
    <n v="2015681"/>
    <x v="62"/>
    <s v="vegnews.com/"/>
    <n v="0"/>
    <n v="0"/>
    <n v="0"/>
    <n v="0"/>
    <n v="0"/>
    <n v="0"/>
    <n v="0"/>
    <n v="0"/>
    <n v="0"/>
    <n v="0"/>
    <n v="0"/>
    <n v="0"/>
    <n v="0"/>
  </r>
  <r>
    <x v="10"/>
    <s v="2075116-Arif Bilal-www.fivestarcoupon.com/"/>
    <n v="1"/>
    <n v="0"/>
    <n v="0"/>
    <n v="0"/>
    <n v="0"/>
    <n v="0"/>
    <n v="0"/>
    <n v="0"/>
    <n v="0"/>
    <n v="0"/>
    <n v="2075116"/>
    <x v="50"/>
    <s v="www.fivestarcoupon.com/"/>
    <n v="0"/>
    <n v="0"/>
    <n v="0"/>
    <n v="0"/>
    <n v="0"/>
    <n v="0"/>
    <n v="0"/>
    <n v="0"/>
    <n v="0"/>
    <n v="0"/>
    <n v="0"/>
    <n v="0"/>
    <n v="0"/>
  </r>
  <r>
    <x v="11"/>
    <s v="314743-Skimbit Ltd-skimlinks.com"/>
    <n v="163"/>
    <n v="540.29999999999995"/>
    <n v="0"/>
    <n v="540.29999999999995"/>
    <n v="3"/>
    <n v="0"/>
    <n v="81.05"/>
    <n v="1.84"/>
    <n v="49.72"/>
    <n v="180.1"/>
    <n v="314743"/>
    <x v="9"/>
    <s v="skimlinks.com"/>
    <n v="3"/>
    <n v="0"/>
    <n v="0"/>
    <n v="0"/>
    <n v="0"/>
    <n v="0"/>
    <n v="81.05"/>
    <n v="0"/>
    <n v="0"/>
    <n v="0"/>
    <n v="0"/>
    <n v="0"/>
    <n v="16.21"/>
  </r>
  <r>
    <x v="11"/>
    <s v="213636-SurfMyAds.com-www.promocodes.com"/>
    <n v="3"/>
    <n v="424"/>
    <n v="0"/>
    <n v="424"/>
    <n v="2"/>
    <n v="0"/>
    <n v="12.72"/>
    <n v="66.67"/>
    <n v="424"/>
    <n v="212"/>
    <n v="213636"/>
    <x v="22"/>
    <s v="www.promocodes.com"/>
    <n v="2"/>
    <n v="0"/>
    <n v="0"/>
    <n v="0"/>
    <n v="0"/>
    <n v="0"/>
    <n v="12.72"/>
    <n v="0"/>
    <n v="0"/>
    <n v="0"/>
    <n v="0"/>
    <n v="0"/>
    <n v="2.54"/>
  </r>
  <r>
    <x v="11"/>
    <s v="445875-Demand.io-knoji.com"/>
    <n v="7"/>
    <n v="181.3"/>
    <n v="0"/>
    <n v="181.3"/>
    <n v="1"/>
    <n v="0"/>
    <n v="5.44"/>
    <n v="14.29"/>
    <n v="77.709999999999994"/>
    <n v="181.3"/>
    <n v="445875"/>
    <x v="6"/>
    <s v="knoji.com"/>
    <n v="1"/>
    <n v="0"/>
    <n v="0"/>
    <n v="0"/>
    <n v="0"/>
    <n v="0"/>
    <n v="5.44"/>
    <n v="0"/>
    <n v="0"/>
    <n v="0"/>
    <n v="0"/>
    <n v="0"/>
    <n v="1.0900000000000001"/>
  </r>
  <r>
    <x v="11"/>
    <s v="140995-Savings.com Inc-www.savings.com"/>
    <n v="9"/>
    <n v="169"/>
    <n v="0"/>
    <n v="169"/>
    <n v="1"/>
    <n v="0"/>
    <n v="5.07"/>
    <n v="11.11"/>
    <n v="56.33"/>
    <n v="169"/>
    <n v="140995"/>
    <x v="7"/>
    <s v="www.savings.com"/>
    <n v="1"/>
    <n v="0"/>
    <n v="0"/>
    <n v="0"/>
    <n v="0"/>
    <n v="0"/>
    <n v="5.07"/>
    <n v="0"/>
    <n v="0"/>
    <n v="0"/>
    <n v="0"/>
    <n v="0"/>
    <n v="1.01"/>
  </r>
  <r>
    <x v="11"/>
    <s v="725033-ID.me Inc.-shop.id.me"/>
    <n v="50"/>
    <n v="164"/>
    <n v="0"/>
    <n v="164"/>
    <n v="1"/>
    <n v="0"/>
    <n v="4.92"/>
    <n v="2"/>
    <n v="9.84"/>
    <n v="164"/>
    <n v="725033"/>
    <x v="1"/>
    <s v="shop.id.me"/>
    <n v="1"/>
    <n v="0"/>
    <n v="0"/>
    <n v="0"/>
    <n v="0"/>
    <n v="0"/>
    <n v="4.92"/>
    <n v="0"/>
    <n v="0"/>
    <n v="0"/>
    <n v="0"/>
    <n v="0"/>
    <n v="0.98"/>
  </r>
  <r>
    <x v="11"/>
    <s v="201285-12 Interactive LLC-www.perkspot.com"/>
    <n v="25"/>
    <n v="164"/>
    <n v="0"/>
    <n v="164"/>
    <n v="1"/>
    <n v="0"/>
    <n v="4.92"/>
    <n v="4"/>
    <n v="19.68"/>
    <n v="164"/>
    <n v="201285"/>
    <x v="5"/>
    <s v="www.perkspot.com"/>
    <n v="1"/>
    <n v="0"/>
    <n v="0"/>
    <n v="0"/>
    <n v="0"/>
    <n v="0"/>
    <n v="4.92"/>
    <n v="0"/>
    <n v="0"/>
    <n v="0"/>
    <n v="0"/>
    <n v="0"/>
    <n v="0.98"/>
  </r>
  <r>
    <x v="11"/>
    <s v="1088116-Business Insider Inc.-www.businessinsider.com"/>
    <n v="44"/>
    <n v="139.30000000000001"/>
    <n v="0"/>
    <n v="139.30000000000001"/>
    <n v="1"/>
    <n v="0"/>
    <n v="27.86"/>
    <n v="2.27"/>
    <n v="63.32"/>
    <n v="139.30000000000001"/>
    <n v="1088116"/>
    <x v="0"/>
    <s v="www.businessinsider.com"/>
    <n v="1"/>
    <n v="0"/>
    <n v="0"/>
    <n v="0"/>
    <n v="0"/>
    <n v="0"/>
    <n v="27.86"/>
    <n v="0"/>
    <n v="0"/>
    <n v="0"/>
    <n v="0"/>
    <n v="0"/>
    <n v="5.57"/>
  </r>
  <r>
    <x v="11"/>
    <s v="136482-Vertive LLC (Offers.com LLC.)-offers.com"/>
    <n v="3"/>
    <n v="132.30000000000001"/>
    <n v="0"/>
    <n v="132.30000000000001"/>
    <n v="1"/>
    <n v="0"/>
    <n v="3.97"/>
    <n v="33.33"/>
    <n v="132.33000000000001"/>
    <n v="132.30000000000001"/>
    <n v="136482"/>
    <x v="8"/>
    <s v="offers.com"/>
    <n v="1"/>
    <n v="0"/>
    <n v="0"/>
    <n v="0"/>
    <n v="0"/>
    <n v="0"/>
    <n v="3.97"/>
    <n v="0"/>
    <n v="0"/>
    <n v="0"/>
    <n v="0"/>
    <n v="0"/>
    <n v="0.79"/>
  </r>
  <r>
    <x v="11"/>
    <s v="1584217-Trends Green-topnaturalmattresses.com"/>
    <n v="40"/>
    <n v="0"/>
    <n v="0"/>
    <n v="0"/>
    <n v="0"/>
    <n v="0"/>
    <n v="0"/>
    <n v="0"/>
    <n v="0"/>
    <n v="0"/>
    <n v="1584217"/>
    <x v="10"/>
    <s v="topnaturalmattresses.com"/>
    <n v="0"/>
    <n v="0"/>
    <n v="0"/>
    <n v="0"/>
    <n v="0"/>
    <n v="0"/>
    <n v="0"/>
    <n v="0"/>
    <n v="0"/>
    <n v="0"/>
    <n v="0"/>
    <n v="0"/>
    <n v="0"/>
  </r>
  <r>
    <x v="11"/>
    <s v="1773960-Tuck.com LLC-tuck.com"/>
    <n v="35"/>
    <n v="0"/>
    <n v="0"/>
    <n v="0"/>
    <n v="0"/>
    <n v="0"/>
    <n v="0"/>
    <n v="0"/>
    <n v="0"/>
    <n v="0"/>
    <n v="1773960"/>
    <x v="11"/>
    <s v="tuck.com"/>
    <n v="0"/>
    <n v="0"/>
    <n v="0"/>
    <n v="0"/>
    <n v="0"/>
    <n v="0"/>
    <n v="0"/>
    <n v="0"/>
    <n v="0"/>
    <n v="0"/>
    <n v="0"/>
    <n v="0"/>
    <n v="0"/>
  </r>
  <r>
    <x v="11"/>
    <s v="1238556-YIELDKIT GmbH-yieldkit.com"/>
    <n v="10"/>
    <n v="0"/>
    <n v="0"/>
    <n v="0"/>
    <n v="0"/>
    <n v="0"/>
    <n v="0"/>
    <n v="0"/>
    <n v="0"/>
    <n v="0"/>
    <n v="1238556"/>
    <x v="3"/>
    <s v="yieldkit.com"/>
    <n v="0"/>
    <n v="0"/>
    <n v="0"/>
    <n v="0"/>
    <n v="0"/>
    <n v="0"/>
    <n v="0"/>
    <n v="0"/>
    <n v="0"/>
    <n v="0"/>
    <n v="0"/>
    <n v="0"/>
    <n v="0"/>
  </r>
  <r>
    <x v="11"/>
    <s v="2053730-WW Affiliate-www.yourbestmattress247.com"/>
    <n v="10"/>
    <n v="0"/>
    <n v="0"/>
    <n v="0"/>
    <n v="0"/>
    <n v="0"/>
    <n v="0"/>
    <n v="0"/>
    <n v="0"/>
    <n v="0"/>
    <n v="2053730"/>
    <x v="12"/>
    <s v="www.yourbestmattress247.com"/>
    <n v="0"/>
    <n v="0"/>
    <n v="0"/>
    <n v="0"/>
    <n v="0"/>
    <n v="0"/>
    <n v="0"/>
    <n v="0"/>
    <n v="0"/>
    <n v="0"/>
    <n v="0"/>
    <n v="0"/>
    <n v="0"/>
  </r>
  <r>
    <x v="11"/>
    <s v="389818-VigLink Inc.-www.viglink.com"/>
    <n v="9"/>
    <n v="0"/>
    <n v="0"/>
    <n v="0"/>
    <n v="0"/>
    <n v="0"/>
    <n v="0"/>
    <n v="0"/>
    <n v="0"/>
    <n v="0"/>
    <n v="389818"/>
    <x v="15"/>
    <s v="www.viglink.com"/>
    <n v="0"/>
    <n v="0"/>
    <n v="0"/>
    <n v="0"/>
    <n v="0"/>
    <n v="0"/>
    <n v="0"/>
    <n v="0"/>
    <n v="0"/>
    <n v="0"/>
    <n v="0"/>
    <n v="0"/>
    <n v="0"/>
  </r>
  <r>
    <x v="11"/>
    <s v="1772040-Meredith Corporation-www.realsimple.com/"/>
    <n v="9"/>
    <n v="0"/>
    <n v="0"/>
    <n v="0"/>
    <n v="0"/>
    <n v="0"/>
    <n v="0"/>
    <n v="0"/>
    <n v="0"/>
    <n v="0"/>
    <n v="1772040"/>
    <x v="17"/>
    <s v="www.realsimple.com/"/>
    <n v="0"/>
    <n v="0"/>
    <n v="0"/>
    <n v="0"/>
    <n v="0"/>
    <n v="0"/>
    <n v="0"/>
    <n v="0"/>
    <n v="0"/>
    <n v="0"/>
    <n v="0"/>
    <n v="0"/>
    <n v="0"/>
  </r>
  <r>
    <x v="11"/>
    <s v="748814-Reviewed.com-www.reviewed.com"/>
    <n v="8"/>
    <n v="0"/>
    <n v="0"/>
    <n v="0"/>
    <n v="0"/>
    <n v="0"/>
    <n v="0"/>
    <n v="0"/>
    <n v="0"/>
    <n v="0"/>
    <n v="748814"/>
    <x v="13"/>
    <s v="www.reviewed.com"/>
    <n v="0"/>
    <n v="0"/>
    <n v="0"/>
    <n v="0"/>
    <n v="0"/>
    <n v="0"/>
    <n v="0"/>
    <n v="0"/>
    <n v="0"/>
    <n v="0"/>
    <n v="0"/>
    <n v="0"/>
    <n v="0"/>
  </r>
  <r>
    <x v="11"/>
    <s v="2284878-Tuck.com LLC-www.sleepfoundation.org/"/>
    <n v="7"/>
    <n v="0"/>
    <n v="0"/>
    <n v="0"/>
    <n v="0"/>
    <n v="0"/>
    <n v="0"/>
    <n v="0"/>
    <n v="0"/>
    <n v="0"/>
    <n v="2284878"/>
    <x v="11"/>
    <s v="www.sleepfoundation.org/"/>
    <n v="0"/>
    <n v="0"/>
    <n v="0"/>
    <n v="0"/>
    <n v="0"/>
    <n v="0"/>
    <n v="0"/>
    <n v="0"/>
    <n v="0"/>
    <n v="0"/>
    <n v="0"/>
    <n v="0"/>
    <n v="0"/>
  </r>
  <r>
    <x v="11"/>
    <s v="1014069-Mutzel Nutrition LLC-highintensityhealth.com/"/>
    <n v="5"/>
    <n v="0"/>
    <n v="0"/>
    <n v="0"/>
    <n v="0"/>
    <n v="0"/>
    <n v="0"/>
    <n v="0"/>
    <n v="0"/>
    <n v="0"/>
    <n v="1014069"/>
    <x v="14"/>
    <s v="highintensityhealth.com/"/>
    <n v="0"/>
    <n v="0"/>
    <n v="0"/>
    <n v="0"/>
    <n v="0"/>
    <n v="0"/>
    <n v="0"/>
    <n v="0"/>
    <n v="0"/>
    <n v="0"/>
    <n v="0"/>
    <n v="0"/>
    <n v="0"/>
  </r>
  <r>
    <x v="11"/>
    <s v="1372745-SavvyShop-savvyshopworld.com"/>
    <n v="5"/>
    <n v="0"/>
    <n v="0"/>
    <n v="0"/>
    <n v="0"/>
    <n v="0"/>
    <n v="0"/>
    <n v="0"/>
    <n v="0"/>
    <n v="0"/>
    <n v="1372745"/>
    <x v="4"/>
    <s v="savvyshopworld.com"/>
    <n v="0"/>
    <n v="0"/>
    <n v="0"/>
    <n v="0"/>
    <n v="0"/>
    <n v="0"/>
    <n v="0"/>
    <n v="0"/>
    <n v="0"/>
    <n v="0"/>
    <n v="0"/>
    <n v="0"/>
    <n v="0"/>
  </r>
  <r>
    <x v="11"/>
    <s v="1413766-LinkGains (HK) Limited-www.hotdeals.com"/>
    <n v="5"/>
    <n v="0"/>
    <n v="0"/>
    <n v="0"/>
    <n v="0"/>
    <n v="0"/>
    <n v="0"/>
    <n v="0"/>
    <n v="0"/>
    <n v="0"/>
    <n v="1413766"/>
    <x v="16"/>
    <s v="www.hotdeals.com"/>
    <n v="0"/>
    <n v="0"/>
    <n v="0"/>
    <n v="0"/>
    <n v="0"/>
    <n v="0"/>
    <n v="0"/>
    <n v="0"/>
    <n v="0"/>
    <n v="0"/>
    <n v="0"/>
    <n v="0"/>
    <n v="0"/>
  </r>
  <r>
    <x v="11"/>
    <s v="745788-digidip GmbH-digidip.net"/>
    <n v="4"/>
    <n v="0"/>
    <n v="0"/>
    <n v="0"/>
    <n v="0"/>
    <n v="0"/>
    <n v="0"/>
    <n v="0"/>
    <n v="0"/>
    <n v="0"/>
    <n v="745788"/>
    <x v="18"/>
    <s v="digidip.net"/>
    <n v="0"/>
    <n v="0"/>
    <n v="0"/>
    <n v="0"/>
    <n v="0"/>
    <n v="0"/>
    <n v="0"/>
    <n v="0"/>
    <n v="0"/>
    <n v="0"/>
    <n v="0"/>
    <n v="0"/>
    <n v="0"/>
  </r>
  <r>
    <x v="11"/>
    <s v="1663605-GSG North America LLC-coupons.businessinsider.com/"/>
    <n v="4"/>
    <n v="0"/>
    <n v="0"/>
    <n v="0"/>
    <n v="0"/>
    <n v="0"/>
    <n v="0"/>
    <n v="0"/>
    <n v="0"/>
    <n v="0"/>
    <n v="1663605"/>
    <x v="47"/>
    <s v="coupons.businessinsider.com/"/>
    <n v="0"/>
    <n v="0"/>
    <n v="0"/>
    <n v="0"/>
    <n v="0"/>
    <n v="0"/>
    <n v="0"/>
    <n v="0"/>
    <n v="0"/>
    <n v="0"/>
    <n v="0"/>
    <n v="0"/>
    <n v="0"/>
  </r>
  <r>
    <x v="11"/>
    <s v="2029250-CNN Interactive Group-www.cnn.com/cnn-underscored/"/>
    <n v="4"/>
    <n v="0"/>
    <n v="0"/>
    <n v="0"/>
    <n v="0"/>
    <n v="0"/>
    <n v="0"/>
    <n v="0"/>
    <n v="0"/>
    <n v="0"/>
    <n v="2029250"/>
    <x v="41"/>
    <s v="www.cnn.com/cnn-underscored/"/>
    <n v="0"/>
    <n v="0"/>
    <n v="0"/>
    <n v="0"/>
    <n v="0"/>
    <n v="0"/>
    <n v="0"/>
    <n v="0"/>
    <n v="0"/>
    <n v="0"/>
    <n v="0"/>
    <n v="0"/>
    <n v="0"/>
  </r>
  <r>
    <x v="11"/>
    <s v="514792-CBS Interactive Inc.-www.cnet.com"/>
    <n v="3"/>
    <n v="0"/>
    <n v="0"/>
    <n v="0"/>
    <n v="0"/>
    <n v="0"/>
    <n v="0"/>
    <n v="0"/>
    <n v="0"/>
    <n v="0"/>
    <n v="514792"/>
    <x v="19"/>
    <s v="www.cnet.com"/>
    <n v="0"/>
    <n v="0"/>
    <n v="0"/>
    <n v="0"/>
    <n v="0"/>
    <n v="0"/>
    <n v="0"/>
    <n v="0"/>
    <n v="0"/>
    <n v="0"/>
    <n v="0"/>
    <n v="0"/>
    <n v="0"/>
  </r>
  <r>
    <x v="11"/>
    <s v="742098-adgoal GmbH-www.adgoal.net"/>
    <n v="3"/>
    <n v="0"/>
    <n v="0"/>
    <n v="0"/>
    <n v="0"/>
    <n v="0"/>
    <n v="0"/>
    <n v="0"/>
    <n v="0"/>
    <n v="0"/>
    <n v="742098"/>
    <x v="23"/>
    <s v="www.adgoal.net"/>
    <n v="0"/>
    <n v="0"/>
    <n v="0"/>
    <n v="0"/>
    <n v="0"/>
    <n v="0"/>
    <n v="0"/>
    <n v="0"/>
    <n v="0"/>
    <n v="0"/>
    <n v="0"/>
    <n v="0"/>
    <n v="0"/>
  </r>
  <r>
    <x v="11"/>
    <s v="1519404-Mariano Cordoba-marianocordoba.me"/>
    <n v="3"/>
    <n v="0"/>
    <n v="0"/>
    <n v="0"/>
    <n v="0"/>
    <n v="0"/>
    <n v="0"/>
    <n v="0"/>
    <n v="0"/>
    <n v="0"/>
    <n v="1519404"/>
    <x v="26"/>
    <s v="marianocordoba.me"/>
    <n v="0"/>
    <n v="0"/>
    <n v="0"/>
    <n v="0"/>
    <n v="0"/>
    <n v="0"/>
    <n v="0"/>
    <n v="0"/>
    <n v="0"/>
    <n v="0"/>
    <n v="0"/>
    <n v="0"/>
    <n v="0"/>
  </r>
  <r>
    <x v="11"/>
    <s v="1578665-Mattress Advisor LLC-sleepopolis.com"/>
    <n v="3"/>
    <n v="0"/>
    <n v="0"/>
    <n v="0"/>
    <n v="0"/>
    <n v="0"/>
    <n v="0"/>
    <n v="0"/>
    <n v="0"/>
    <n v="0"/>
    <n v="1578665"/>
    <x v="27"/>
    <s v="sleepopolis.com"/>
    <n v="0"/>
    <n v="0"/>
    <n v="0"/>
    <n v="0"/>
    <n v="0"/>
    <n v="0"/>
    <n v="0"/>
    <n v="0"/>
    <n v="0"/>
    <n v="0"/>
    <n v="0"/>
    <n v="0"/>
    <n v="0"/>
  </r>
  <r>
    <x v="11"/>
    <s v="1140999-Chichihaha Limited-www.couponbirds.com"/>
    <n v="2"/>
    <n v="0"/>
    <n v="0"/>
    <n v="0"/>
    <n v="0"/>
    <n v="0"/>
    <n v="0"/>
    <n v="0"/>
    <n v="0"/>
    <n v="0"/>
    <n v="1140999"/>
    <x v="40"/>
    <s v="www.couponbirds.com"/>
    <n v="0"/>
    <n v="0"/>
    <n v="0"/>
    <n v="0"/>
    <n v="0"/>
    <n v="0"/>
    <n v="0"/>
    <n v="0"/>
    <n v="0"/>
    <n v="0"/>
    <n v="0"/>
    <n v="0"/>
    <n v="0"/>
  </r>
  <r>
    <x v="11"/>
    <s v="1242889-RIZKNOWS LLC-www.rizknows.com"/>
    <n v="2"/>
    <n v="0"/>
    <n v="0"/>
    <n v="0"/>
    <n v="0"/>
    <n v="0"/>
    <n v="0"/>
    <n v="0"/>
    <n v="0"/>
    <n v="0"/>
    <n v="1242889"/>
    <x v="25"/>
    <s v="www.rizknows.com"/>
    <n v="0"/>
    <n v="0"/>
    <n v="0"/>
    <n v="0"/>
    <n v="0"/>
    <n v="0"/>
    <n v="0"/>
    <n v="0"/>
    <n v="0"/>
    <n v="0"/>
    <n v="0"/>
    <n v="0"/>
    <n v="0"/>
  </r>
  <r>
    <x v="11"/>
    <s v="1869309-Mattress Media LLC.-mattressnerd.com"/>
    <n v="2"/>
    <n v="0"/>
    <n v="0"/>
    <n v="0"/>
    <n v="0"/>
    <n v="0"/>
    <n v="0"/>
    <n v="0"/>
    <n v="0"/>
    <n v="0"/>
    <n v="1869309"/>
    <x v="57"/>
    <s v="mattressnerd.com"/>
    <n v="0"/>
    <n v="0"/>
    <n v="0"/>
    <n v="0"/>
    <n v="0"/>
    <n v="0"/>
    <n v="0"/>
    <n v="0"/>
    <n v="0"/>
    <n v="0"/>
    <n v="0"/>
    <n v="0"/>
    <n v="0"/>
  </r>
  <r>
    <x v="11"/>
    <s v="2015681-Fresh Healthy Media LLC-vegnews.com/"/>
    <n v="2"/>
    <n v="0"/>
    <n v="0"/>
    <n v="0"/>
    <n v="0"/>
    <n v="0"/>
    <n v="0"/>
    <n v="0"/>
    <n v="0"/>
    <n v="0"/>
    <n v="2015681"/>
    <x v="62"/>
    <s v="vegnews.com/"/>
    <n v="0"/>
    <n v="0"/>
    <n v="0"/>
    <n v="0"/>
    <n v="0"/>
    <n v="0"/>
    <n v="0"/>
    <n v="0"/>
    <n v="0"/>
    <n v="0"/>
    <n v="0"/>
    <n v="0"/>
    <n v="0"/>
  </r>
  <r>
    <x v="11"/>
    <s v="154911-CouponCabin LLC-www.couponcabin.com"/>
    <n v="1"/>
    <n v="0"/>
    <n v="0"/>
    <n v="0"/>
    <n v="0"/>
    <n v="0"/>
    <n v="0"/>
    <n v="0"/>
    <n v="0"/>
    <n v="0"/>
    <n v="154911"/>
    <x v="21"/>
    <s v="www.couponcabin.com"/>
    <n v="0"/>
    <n v="0"/>
    <n v="0"/>
    <n v="0"/>
    <n v="0"/>
    <n v="0"/>
    <n v="0"/>
    <n v="0"/>
    <n v="0"/>
    <n v="0"/>
    <n v="0"/>
    <n v="0"/>
    <n v="0"/>
  </r>
  <r>
    <x v="11"/>
    <s v="193744-shareasaleaffnl@rmn.com-www.retailmenot.com"/>
    <n v="1"/>
    <n v="0"/>
    <n v="0"/>
    <n v="0"/>
    <n v="0"/>
    <n v="0"/>
    <n v="0"/>
    <n v="0"/>
    <n v="0"/>
    <n v="0"/>
    <n v="193744"/>
    <x v="30"/>
    <s v="www.retailmenot.com"/>
    <n v="0"/>
    <n v="0"/>
    <n v="0"/>
    <n v="0"/>
    <n v="0"/>
    <n v="0"/>
    <n v="0"/>
    <n v="0"/>
    <n v="0"/>
    <n v="0"/>
    <n v="0"/>
    <n v="0"/>
    <n v="0"/>
  </r>
  <r>
    <x v="11"/>
    <s v="318676-Capital Intellect Inc.-www.befrugal.com"/>
    <n v="1"/>
    <n v="0"/>
    <n v="0"/>
    <n v="0"/>
    <n v="0"/>
    <n v="0"/>
    <n v="0"/>
    <n v="0"/>
    <n v="0"/>
    <n v="0"/>
    <n v="318676"/>
    <x v="31"/>
    <s v="www.befrugal.com"/>
    <n v="0"/>
    <n v="0"/>
    <n v="0"/>
    <n v="0"/>
    <n v="0"/>
    <n v="0"/>
    <n v="0"/>
    <n v="0"/>
    <n v="0"/>
    <n v="0"/>
    <n v="0"/>
    <n v="0"/>
    <n v="0"/>
  </r>
  <r>
    <x v="11"/>
    <s v="930703-Antifragile Fit-antifragile.fit"/>
    <n v="1"/>
    <n v="0"/>
    <n v="0"/>
    <n v="0"/>
    <n v="0"/>
    <n v="0"/>
    <n v="0"/>
    <n v="0"/>
    <n v="0"/>
    <n v="0"/>
    <n v="930703"/>
    <x v="43"/>
    <s v="antifragile.fit"/>
    <n v="0"/>
    <n v="0"/>
    <n v="0"/>
    <n v="0"/>
    <n v="0"/>
    <n v="0"/>
    <n v="0"/>
    <n v="0"/>
    <n v="0"/>
    <n v="0"/>
    <n v="0"/>
    <n v="0"/>
    <n v="0"/>
  </r>
  <r>
    <x v="11"/>
    <s v="1250612-Refermate LLC-www.refermate.com"/>
    <n v="1"/>
    <n v="0"/>
    <n v="0"/>
    <n v="0"/>
    <n v="0"/>
    <n v="0"/>
    <n v="0"/>
    <n v="0"/>
    <n v="0"/>
    <n v="0"/>
    <n v="1250612"/>
    <x v="76"/>
    <s v="www.refermate.com"/>
    <n v="0"/>
    <n v="0"/>
    <n v="0"/>
    <n v="0"/>
    <n v="0"/>
    <n v="0"/>
    <n v="0"/>
    <n v="0"/>
    <n v="0"/>
    <n v="0"/>
    <n v="0"/>
    <n v="0"/>
    <n v="0"/>
  </r>
  <r>
    <x v="11"/>
    <s v="1273061-BRAND REWARD (HONG KONG) LIMITED-www.brandreward.com/"/>
    <n v="1"/>
    <n v="0"/>
    <n v="0"/>
    <n v="0"/>
    <n v="0"/>
    <n v="0"/>
    <n v="0"/>
    <n v="0"/>
    <n v="0"/>
    <n v="0"/>
    <n v="1273061"/>
    <x v="33"/>
    <s v="www.brandreward.com/"/>
    <n v="0"/>
    <n v="0"/>
    <n v="0"/>
    <n v="0"/>
    <n v="0"/>
    <n v="0"/>
    <n v="0"/>
    <n v="0"/>
    <n v="0"/>
    <n v="0"/>
    <n v="0"/>
    <n v="0"/>
    <n v="0"/>
  </r>
  <r>
    <x v="11"/>
    <s v="1606247-Shasta Tisdale-www.facebook.com/Saleaholiccoupons/"/>
    <n v="1"/>
    <n v="0"/>
    <n v="0"/>
    <n v="0"/>
    <n v="0"/>
    <n v="0"/>
    <n v="0"/>
    <n v="0"/>
    <n v="0"/>
    <n v="0"/>
    <n v="1606247"/>
    <x v="75"/>
    <s v="www.facebook.com/Saleaholiccoupons/"/>
    <n v="0"/>
    <n v="0"/>
    <n v="0"/>
    <n v="0"/>
    <n v="0"/>
    <n v="0"/>
    <n v="0"/>
    <n v="0"/>
    <n v="0"/>
    <n v="0"/>
    <n v="0"/>
    <n v="0"/>
    <n v="0"/>
  </r>
  <r>
    <x v="11"/>
    <s v="1649859-Mattress Advisor-www.mattressadvisor.com/"/>
    <n v="1"/>
    <n v="0"/>
    <n v="0"/>
    <n v="0"/>
    <n v="0"/>
    <n v="0"/>
    <n v="0"/>
    <n v="0"/>
    <n v="0"/>
    <n v="0"/>
    <n v="1649859"/>
    <x v="69"/>
    <s v="www.mattressadvisor.com/"/>
    <n v="0"/>
    <n v="0"/>
    <n v="0"/>
    <n v="0"/>
    <n v="0"/>
    <n v="0"/>
    <n v="0"/>
    <n v="0"/>
    <n v="0"/>
    <n v="0"/>
    <n v="0"/>
    <n v="0"/>
    <n v="0"/>
  </r>
  <r>
    <x v="11"/>
    <s v="2075116-Arif Bilal-www.fivestarcoupon.com/"/>
    <n v="1"/>
    <n v="0"/>
    <n v="0"/>
    <n v="0"/>
    <n v="0"/>
    <n v="0"/>
    <n v="0"/>
    <n v="0"/>
    <n v="0"/>
    <n v="0"/>
    <n v="2075116"/>
    <x v="50"/>
    <s v="www.fivestarcoupon.com/"/>
    <n v="0"/>
    <n v="0"/>
    <n v="0"/>
    <n v="0"/>
    <n v="0"/>
    <n v="0"/>
    <n v="0"/>
    <n v="0"/>
    <n v="0"/>
    <n v="0"/>
    <n v="0"/>
    <n v="0"/>
    <n v="0"/>
  </r>
  <r>
    <x v="11"/>
    <s v="2292146-Olymp Technologies Inc-honestbrandreviews.com"/>
    <n v="1"/>
    <n v="0"/>
    <n v="0"/>
    <n v="0"/>
    <n v="0"/>
    <n v="0"/>
    <n v="0"/>
    <n v="0"/>
    <n v="0"/>
    <n v="0"/>
    <n v="2292146"/>
    <x v="54"/>
    <s v="honestbrandreviews.com"/>
    <n v="0"/>
    <n v="0"/>
    <n v="0"/>
    <n v="0"/>
    <n v="0"/>
    <n v="0"/>
    <n v="0"/>
    <n v="0"/>
    <n v="0"/>
    <n v="0"/>
    <n v="0"/>
    <n v="0"/>
    <n v="0"/>
  </r>
  <r>
    <x v="11"/>
    <s v="2316883-HigherDOSE LLC-higherdose.com/"/>
    <n v="1"/>
    <n v="0"/>
    <n v="0"/>
    <n v="0"/>
    <n v="0"/>
    <n v="0"/>
    <n v="0"/>
    <n v="0"/>
    <n v="0"/>
    <n v="0"/>
    <n v="2316883"/>
    <x v="58"/>
    <s v="higherdose.com/"/>
    <n v="0"/>
    <n v="0"/>
    <n v="0"/>
    <n v="0"/>
    <n v="0"/>
    <n v="0"/>
    <n v="0"/>
    <n v="0"/>
    <n v="0"/>
    <n v="0"/>
    <n v="0"/>
    <n v="0"/>
    <n v="0"/>
  </r>
  <r>
    <x v="11"/>
    <s v="2334633-Jo Seney-www.facebook.com/Jabars310SalesPage/"/>
    <n v="1"/>
    <n v="0"/>
    <n v="0"/>
    <n v="0"/>
    <n v="0"/>
    <n v="0"/>
    <n v="0"/>
    <n v="0"/>
    <n v="0"/>
    <n v="0"/>
    <n v="2334633"/>
    <x v="64"/>
    <s v="www.facebook.com/Jabars310SalesPage/"/>
    <n v="0"/>
    <n v="0"/>
    <n v="0"/>
    <n v="0"/>
    <n v="0"/>
    <n v="0"/>
    <n v="0"/>
    <n v="0"/>
    <n v="0"/>
    <n v="0"/>
    <n v="0"/>
    <n v="0"/>
    <n v="0"/>
  </r>
  <r>
    <x v="11"/>
    <m/>
    <m/>
    <m/>
    <m/>
    <m/>
    <m/>
    <m/>
    <m/>
    <m/>
    <m/>
    <m/>
    <m/>
    <x v="79"/>
    <m/>
    <m/>
    <m/>
    <m/>
    <m/>
    <m/>
    <m/>
    <m/>
    <m/>
    <m/>
    <m/>
    <m/>
    <m/>
    <m/>
  </r>
  <r>
    <x v="11"/>
    <m/>
    <m/>
    <m/>
    <m/>
    <m/>
    <m/>
    <m/>
    <m/>
    <m/>
    <m/>
    <m/>
    <m/>
    <x v="79"/>
    <m/>
    <m/>
    <m/>
    <m/>
    <m/>
    <m/>
    <m/>
    <m/>
    <m/>
    <m/>
    <m/>
    <m/>
    <m/>
    <m/>
  </r>
  <r>
    <x v="12"/>
    <s v="2316883-HigherDOSE LLC-higherdose.com/"/>
    <n v="2"/>
    <n v="541.65"/>
    <n v="0"/>
    <n v="541.65"/>
    <n v="3"/>
    <n v="0"/>
    <n v="54.17"/>
    <n v="150"/>
    <n v="2708.5"/>
    <n v="180.55"/>
    <n v="2316883"/>
    <x v="58"/>
    <s v="higherdose.com/"/>
    <n v="3"/>
    <n v="0"/>
    <n v="0"/>
    <n v="0"/>
    <n v="0"/>
    <n v="0"/>
    <n v="54.17"/>
    <n v="0"/>
    <n v="0"/>
    <n v="0"/>
    <n v="0"/>
    <n v="0"/>
    <n v="10.83"/>
  </r>
  <r>
    <x v="12"/>
    <s v="445875-Demand.io-knoji.com"/>
    <n v="12"/>
    <n v="324.8"/>
    <n v="0"/>
    <n v="324.8"/>
    <n v="2"/>
    <n v="0"/>
    <n v="9.74"/>
    <n v="16.670000000000002"/>
    <n v="81.17"/>
    <n v="162.4"/>
    <n v="445875"/>
    <x v="6"/>
    <s v="knoji.com"/>
    <n v="2"/>
    <n v="0"/>
    <n v="0"/>
    <n v="0"/>
    <n v="0"/>
    <n v="0"/>
    <n v="9.74"/>
    <n v="0"/>
    <n v="0"/>
    <n v="0"/>
    <n v="0"/>
    <n v="0"/>
    <n v="1.95"/>
  </r>
  <r>
    <x v="12"/>
    <s v="514792-CBS Interactive Inc.-www.cnet.com"/>
    <n v="9"/>
    <n v="249"/>
    <n v="0"/>
    <n v="249"/>
    <n v="1"/>
    <n v="0"/>
    <n v="29.88"/>
    <n v="11.11"/>
    <n v="332"/>
    <n v="249"/>
    <n v="514792"/>
    <x v="19"/>
    <s v="www.cnet.com"/>
    <n v="1"/>
    <n v="0"/>
    <n v="0"/>
    <n v="0"/>
    <n v="0"/>
    <n v="0"/>
    <n v="29.88"/>
    <n v="0"/>
    <n v="0"/>
    <n v="0"/>
    <n v="0"/>
    <n v="0"/>
    <n v="5.98"/>
  </r>
  <r>
    <x v="12"/>
    <s v="213636-SurfMyAds.com-www.promocodes.com"/>
    <n v="4"/>
    <n v="207.2"/>
    <n v="0"/>
    <n v="207.2"/>
    <n v="1"/>
    <n v="0"/>
    <n v="6.22"/>
    <n v="25"/>
    <n v="155.5"/>
    <n v="207.2"/>
    <n v="213636"/>
    <x v="22"/>
    <s v="www.promocodes.com"/>
    <n v="1"/>
    <n v="0"/>
    <n v="0"/>
    <n v="0"/>
    <n v="0"/>
    <n v="0"/>
    <n v="6.22"/>
    <n v="0"/>
    <n v="0"/>
    <n v="0"/>
    <n v="0"/>
    <n v="0"/>
    <n v="1.24"/>
  </r>
  <r>
    <x v="12"/>
    <s v="136482-Vertive LLC (Offers.com LLC.)-offers.com"/>
    <n v="3"/>
    <n v="181.3"/>
    <n v="0"/>
    <n v="181.3"/>
    <n v="1"/>
    <n v="0"/>
    <n v="5.44"/>
    <n v="33.33"/>
    <n v="181.33"/>
    <n v="181.3"/>
    <n v="136482"/>
    <x v="8"/>
    <s v="offers.com"/>
    <n v="1"/>
    <n v="0"/>
    <n v="0"/>
    <n v="0"/>
    <n v="0"/>
    <n v="0"/>
    <n v="5.44"/>
    <n v="0"/>
    <n v="0"/>
    <n v="0"/>
    <n v="0"/>
    <n v="0"/>
    <n v="1.0900000000000001"/>
  </r>
  <r>
    <x v="12"/>
    <s v="1250612-Refermate LLC-www.refermate.com"/>
    <n v="1"/>
    <n v="170"/>
    <n v="0"/>
    <n v="170"/>
    <n v="1"/>
    <n v="0"/>
    <n v="5.0999999999999996"/>
    <n v="100"/>
    <n v="510"/>
    <n v="170"/>
    <n v="1250612"/>
    <x v="76"/>
    <s v="www.refermate.com"/>
    <n v="1"/>
    <n v="0"/>
    <n v="0"/>
    <n v="0"/>
    <n v="0"/>
    <n v="0"/>
    <n v="5.0999999999999996"/>
    <n v="0"/>
    <n v="0"/>
    <n v="0"/>
    <n v="0"/>
    <n v="0"/>
    <n v="1.02"/>
  </r>
  <r>
    <x v="12"/>
    <s v="1663605-GSG North America LLC-coupons.businessinsider.com/"/>
    <n v="1"/>
    <n v="169"/>
    <n v="0"/>
    <n v="169"/>
    <n v="1"/>
    <n v="0"/>
    <n v="16.899999999999999"/>
    <n v="100"/>
    <n v="1690"/>
    <n v="169"/>
    <n v="1663605"/>
    <x v="47"/>
    <s v="coupons.businessinsider.com/"/>
    <n v="1"/>
    <n v="0"/>
    <n v="0"/>
    <n v="0"/>
    <n v="0"/>
    <n v="0"/>
    <n v="16.899999999999999"/>
    <n v="0"/>
    <n v="0"/>
    <n v="0"/>
    <n v="0"/>
    <n v="0"/>
    <n v="3.38"/>
  </r>
  <r>
    <x v="12"/>
    <s v="1088116-Business Insider Inc.-www.businessinsider.com"/>
    <n v="53"/>
    <n v="132.30000000000001"/>
    <n v="0"/>
    <n v="132.30000000000001"/>
    <n v="1"/>
    <n v="0"/>
    <n v="26.46"/>
    <n v="1.89"/>
    <n v="49.92"/>
    <n v="132.30000000000001"/>
    <n v="1088116"/>
    <x v="0"/>
    <s v="www.businessinsider.com"/>
    <n v="1"/>
    <n v="0"/>
    <n v="0"/>
    <n v="0"/>
    <n v="0"/>
    <n v="0"/>
    <n v="26.46"/>
    <n v="0"/>
    <n v="0"/>
    <n v="0"/>
    <n v="0"/>
    <n v="0"/>
    <n v="5.29"/>
  </r>
  <r>
    <x v="12"/>
    <s v="314743-Skimbit Ltd-skimlinks.com"/>
    <n v="113"/>
    <n v="0"/>
    <n v="0"/>
    <n v="0"/>
    <n v="0"/>
    <n v="0"/>
    <n v="0"/>
    <n v="0"/>
    <n v="0"/>
    <n v="0"/>
    <n v="314743"/>
    <x v="9"/>
    <s v="skimlinks.com"/>
    <n v="0"/>
    <n v="0"/>
    <n v="0"/>
    <n v="0"/>
    <n v="0"/>
    <n v="0"/>
    <n v="0"/>
    <n v="0"/>
    <n v="0"/>
    <n v="0"/>
    <n v="0"/>
    <n v="0"/>
    <n v="0"/>
  </r>
  <r>
    <x v="12"/>
    <s v="725033-ID.me Inc.-shop.id.me"/>
    <n v="53"/>
    <n v="0"/>
    <n v="0"/>
    <n v="0"/>
    <n v="0"/>
    <n v="0"/>
    <n v="0"/>
    <n v="0"/>
    <n v="0"/>
    <n v="0"/>
    <n v="725033"/>
    <x v="1"/>
    <s v="shop.id.me"/>
    <n v="0"/>
    <n v="0"/>
    <n v="0"/>
    <n v="0"/>
    <n v="0"/>
    <n v="0"/>
    <n v="0"/>
    <n v="0"/>
    <n v="0"/>
    <n v="0"/>
    <n v="0"/>
    <n v="0"/>
    <n v="0"/>
  </r>
  <r>
    <x v="12"/>
    <s v="1584217-Trends Green-topnaturalmattresses.com"/>
    <n v="41"/>
    <n v="0"/>
    <n v="0"/>
    <n v="0"/>
    <n v="0"/>
    <n v="0"/>
    <n v="0"/>
    <n v="0"/>
    <n v="0"/>
    <n v="0"/>
    <n v="1584217"/>
    <x v="10"/>
    <s v="topnaturalmattresses.com"/>
    <n v="0"/>
    <n v="0"/>
    <n v="0"/>
    <n v="0"/>
    <n v="0"/>
    <n v="0"/>
    <n v="0"/>
    <n v="0"/>
    <n v="0"/>
    <n v="0"/>
    <n v="0"/>
    <n v="0"/>
    <n v="0"/>
  </r>
  <r>
    <x v="12"/>
    <s v="201285-12 Interactive LLC-www.perkspot.com"/>
    <n v="32"/>
    <n v="0"/>
    <n v="0"/>
    <n v="0"/>
    <n v="0"/>
    <n v="0"/>
    <n v="0"/>
    <n v="0"/>
    <n v="0"/>
    <n v="0"/>
    <n v="201285"/>
    <x v="5"/>
    <s v="www.perkspot.com"/>
    <n v="0"/>
    <n v="0"/>
    <n v="0"/>
    <n v="0"/>
    <n v="0"/>
    <n v="0"/>
    <n v="0"/>
    <n v="0"/>
    <n v="0"/>
    <n v="0"/>
    <n v="0"/>
    <n v="0"/>
    <n v="0"/>
  </r>
  <r>
    <x v="12"/>
    <s v="1773960-Tuck.com LLC-tuck.com"/>
    <n v="21"/>
    <n v="0"/>
    <n v="0"/>
    <n v="0"/>
    <n v="0"/>
    <n v="0"/>
    <n v="0"/>
    <n v="0"/>
    <n v="0"/>
    <n v="0"/>
    <n v="1773960"/>
    <x v="11"/>
    <s v="tuck.com"/>
    <n v="0"/>
    <n v="0"/>
    <n v="0"/>
    <n v="0"/>
    <n v="0"/>
    <n v="0"/>
    <n v="0"/>
    <n v="0"/>
    <n v="0"/>
    <n v="0"/>
    <n v="0"/>
    <n v="0"/>
    <n v="0"/>
  </r>
  <r>
    <x v="12"/>
    <s v="2053730-WW Affiliate-www.yourbestmattress247.com"/>
    <n v="12"/>
    <n v="0"/>
    <n v="0"/>
    <n v="0"/>
    <n v="0"/>
    <n v="0"/>
    <n v="0"/>
    <n v="0"/>
    <n v="0"/>
    <n v="0"/>
    <n v="2053730"/>
    <x v="12"/>
    <s v="www.yourbestmattress247.com"/>
    <n v="0"/>
    <n v="0"/>
    <n v="0"/>
    <n v="0"/>
    <n v="0"/>
    <n v="0"/>
    <n v="0"/>
    <n v="0"/>
    <n v="0"/>
    <n v="0"/>
    <n v="0"/>
    <n v="0"/>
    <n v="0"/>
  </r>
  <r>
    <x v="12"/>
    <s v="389818-VigLink Inc.-www.viglink.com"/>
    <n v="11"/>
    <n v="0"/>
    <n v="0"/>
    <n v="0"/>
    <n v="0"/>
    <n v="0"/>
    <n v="0"/>
    <n v="0"/>
    <n v="0"/>
    <n v="0"/>
    <n v="389818"/>
    <x v="15"/>
    <s v="www.viglink.com"/>
    <n v="0"/>
    <n v="0"/>
    <n v="0"/>
    <n v="0"/>
    <n v="0"/>
    <n v="0"/>
    <n v="0"/>
    <n v="0"/>
    <n v="0"/>
    <n v="0"/>
    <n v="0"/>
    <n v="0"/>
    <n v="0"/>
  </r>
  <r>
    <x v="12"/>
    <s v="1772040-Meredith Corporation-www.realsimple.com/"/>
    <n v="10"/>
    <n v="0"/>
    <n v="0"/>
    <n v="0"/>
    <n v="0"/>
    <n v="0"/>
    <n v="0"/>
    <n v="0"/>
    <n v="0"/>
    <n v="0"/>
    <n v="1772040"/>
    <x v="17"/>
    <s v="www.realsimple.com/"/>
    <n v="0"/>
    <n v="0"/>
    <n v="0"/>
    <n v="0"/>
    <n v="0"/>
    <n v="0"/>
    <n v="0"/>
    <n v="0"/>
    <n v="0"/>
    <n v="0"/>
    <n v="0"/>
    <n v="0"/>
    <n v="0"/>
  </r>
  <r>
    <x v="12"/>
    <s v="748814-Reviewed.com-www.reviewed.com"/>
    <n v="7"/>
    <n v="0"/>
    <n v="0"/>
    <n v="0"/>
    <n v="0"/>
    <n v="0"/>
    <n v="0"/>
    <n v="0"/>
    <n v="0"/>
    <n v="0"/>
    <n v="748814"/>
    <x v="13"/>
    <s v="www.reviewed.com"/>
    <n v="0"/>
    <n v="0"/>
    <n v="0"/>
    <n v="0"/>
    <n v="0"/>
    <n v="0"/>
    <n v="0"/>
    <n v="0"/>
    <n v="0"/>
    <n v="0"/>
    <n v="0"/>
    <n v="0"/>
    <n v="0"/>
  </r>
  <r>
    <x v="12"/>
    <s v="2284878-Tuck.com LLC-www.sleepfoundation.org/"/>
    <n v="7"/>
    <n v="0"/>
    <n v="0"/>
    <n v="0"/>
    <n v="0"/>
    <n v="0"/>
    <n v="0"/>
    <n v="0"/>
    <n v="0"/>
    <n v="0"/>
    <n v="2284878"/>
    <x v="11"/>
    <s v="www.sleepfoundation.org/"/>
    <n v="0"/>
    <n v="0"/>
    <n v="0"/>
    <n v="0"/>
    <n v="0"/>
    <n v="0"/>
    <n v="0"/>
    <n v="0"/>
    <n v="0"/>
    <n v="0"/>
    <n v="0"/>
    <n v="0"/>
    <n v="0"/>
  </r>
  <r>
    <x v="12"/>
    <s v="742098-adgoal GmbH-www.adgoal.net"/>
    <n v="6"/>
    <n v="0"/>
    <n v="0"/>
    <n v="0"/>
    <n v="0"/>
    <n v="0"/>
    <n v="0"/>
    <n v="0"/>
    <n v="0"/>
    <n v="0"/>
    <n v="742098"/>
    <x v="23"/>
    <s v="www.adgoal.net"/>
    <n v="0"/>
    <n v="0"/>
    <n v="0"/>
    <n v="0"/>
    <n v="0"/>
    <n v="0"/>
    <n v="0"/>
    <n v="0"/>
    <n v="0"/>
    <n v="0"/>
    <n v="0"/>
    <n v="0"/>
    <n v="0"/>
  </r>
  <r>
    <x v="12"/>
    <s v="1238556-YIELDKIT GmbH-yieldkit.com"/>
    <n v="5"/>
    <n v="0"/>
    <n v="0"/>
    <n v="0"/>
    <n v="0"/>
    <n v="0"/>
    <n v="0"/>
    <n v="0"/>
    <n v="0"/>
    <n v="0"/>
    <n v="1238556"/>
    <x v="3"/>
    <s v="yieldkit.com"/>
    <n v="0"/>
    <n v="0"/>
    <n v="0"/>
    <n v="0"/>
    <n v="0"/>
    <n v="0"/>
    <n v="0"/>
    <n v="0"/>
    <n v="0"/>
    <n v="0"/>
    <n v="0"/>
    <n v="0"/>
    <n v="0"/>
  </r>
  <r>
    <x v="12"/>
    <s v="1578665-Mattress Advisor LLC-sleepopolis.com"/>
    <n v="5"/>
    <n v="0"/>
    <n v="0"/>
    <n v="0"/>
    <n v="0"/>
    <n v="0"/>
    <n v="0"/>
    <n v="0"/>
    <n v="0"/>
    <n v="0"/>
    <n v="1578665"/>
    <x v="27"/>
    <s v="sleepopolis.com"/>
    <n v="0"/>
    <n v="0"/>
    <n v="0"/>
    <n v="0"/>
    <n v="0"/>
    <n v="0"/>
    <n v="0"/>
    <n v="0"/>
    <n v="0"/>
    <n v="0"/>
    <n v="0"/>
    <n v="0"/>
    <n v="0"/>
  </r>
  <r>
    <x v="12"/>
    <s v="140995-Savings.com Inc-www.savings.com"/>
    <n v="4"/>
    <n v="0"/>
    <n v="0"/>
    <n v="0"/>
    <n v="0"/>
    <n v="0"/>
    <n v="0"/>
    <n v="0"/>
    <n v="0"/>
    <n v="0"/>
    <n v="140995"/>
    <x v="7"/>
    <s v="www.savings.com"/>
    <n v="0"/>
    <n v="0"/>
    <n v="0"/>
    <n v="0"/>
    <n v="0"/>
    <n v="0"/>
    <n v="0"/>
    <n v="0"/>
    <n v="0"/>
    <n v="0"/>
    <n v="0"/>
    <n v="0"/>
    <n v="0"/>
  </r>
  <r>
    <x v="12"/>
    <s v="193744-shareasaleaffnl@rmn.com-www.retailmenot.com"/>
    <n v="4"/>
    <n v="0"/>
    <n v="0"/>
    <n v="0"/>
    <n v="0"/>
    <n v="0"/>
    <n v="0"/>
    <n v="0"/>
    <n v="0"/>
    <n v="0"/>
    <n v="193744"/>
    <x v="30"/>
    <s v="www.retailmenot.com"/>
    <n v="0"/>
    <n v="0"/>
    <n v="0"/>
    <n v="0"/>
    <n v="0"/>
    <n v="0"/>
    <n v="0"/>
    <n v="0"/>
    <n v="0"/>
    <n v="0"/>
    <n v="0"/>
    <n v="0"/>
    <n v="0"/>
  </r>
  <r>
    <x v="12"/>
    <s v="745788-digidip GmbH-digidip.net"/>
    <n v="4"/>
    <n v="0"/>
    <n v="0"/>
    <n v="0"/>
    <n v="0"/>
    <n v="0"/>
    <n v="0"/>
    <n v="0"/>
    <n v="0"/>
    <n v="0"/>
    <n v="745788"/>
    <x v="18"/>
    <s v="digidip.net"/>
    <n v="0"/>
    <n v="0"/>
    <n v="0"/>
    <n v="0"/>
    <n v="0"/>
    <n v="0"/>
    <n v="0"/>
    <n v="0"/>
    <n v="0"/>
    <n v="0"/>
    <n v="0"/>
    <n v="0"/>
    <n v="0"/>
  </r>
  <r>
    <x v="12"/>
    <s v="1014069-Mutzel Nutrition LLC-highintensityhealth.com/"/>
    <n v="3"/>
    <n v="0"/>
    <n v="0"/>
    <n v="0"/>
    <n v="0"/>
    <n v="0"/>
    <n v="0"/>
    <n v="0"/>
    <n v="0"/>
    <n v="0"/>
    <n v="1014069"/>
    <x v="14"/>
    <s v="highintensityhealth.com/"/>
    <n v="0"/>
    <n v="0"/>
    <n v="0"/>
    <n v="0"/>
    <n v="0"/>
    <n v="0"/>
    <n v="0"/>
    <n v="0"/>
    <n v="0"/>
    <n v="0"/>
    <n v="0"/>
    <n v="0"/>
    <n v="0"/>
  </r>
  <r>
    <x v="12"/>
    <s v="1225169-Vox Media LLC-www.voxmedia.com/a/vm"/>
    <n v="3"/>
    <n v="0"/>
    <n v="0"/>
    <n v="0"/>
    <n v="0"/>
    <n v="0"/>
    <n v="0"/>
    <n v="0"/>
    <n v="0"/>
    <n v="0"/>
    <n v="1225169"/>
    <x v="24"/>
    <s v="www.voxmedia.com/a/vm"/>
    <n v="0"/>
    <n v="0"/>
    <n v="0"/>
    <n v="0"/>
    <n v="0"/>
    <n v="0"/>
    <n v="0"/>
    <n v="0"/>
    <n v="0"/>
    <n v="0"/>
    <n v="0"/>
    <n v="0"/>
    <n v="0"/>
  </r>
  <r>
    <x v="12"/>
    <s v="1242889-RIZKNOWS LLC-www.rizknows.com"/>
    <n v="3"/>
    <n v="0"/>
    <n v="0"/>
    <n v="0"/>
    <n v="0"/>
    <n v="0"/>
    <n v="0"/>
    <n v="0"/>
    <n v="0"/>
    <n v="0"/>
    <n v="1242889"/>
    <x v="25"/>
    <s v="www.rizknows.com"/>
    <n v="0"/>
    <n v="0"/>
    <n v="0"/>
    <n v="0"/>
    <n v="0"/>
    <n v="0"/>
    <n v="0"/>
    <n v="0"/>
    <n v="0"/>
    <n v="0"/>
    <n v="0"/>
    <n v="0"/>
    <n v="0"/>
  </r>
  <r>
    <x v="12"/>
    <s v="1413766-LinkGains (HK) Limited-www.hotdeals.com"/>
    <n v="3"/>
    <n v="0"/>
    <n v="0"/>
    <n v="0"/>
    <n v="0"/>
    <n v="0"/>
    <n v="0"/>
    <n v="0"/>
    <n v="0"/>
    <n v="0"/>
    <n v="1413766"/>
    <x v="16"/>
    <s v="www.hotdeals.com"/>
    <n v="0"/>
    <n v="0"/>
    <n v="0"/>
    <n v="0"/>
    <n v="0"/>
    <n v="0"/>
    <n v="0"/>
    <n v="0"/>
    <n v="0"/>
    <n v="0"/>
    <n v="0"/>
    <n v="0"/>
    <n v="0"/>
  </r>
  <r>
    <x v="12"/>
    <s v="1519404-Mariano Cordoba-marianocordoba.me"/>
    <n v="3"/>
    <n v="0"/>
    <n v="0"/>
    <n v="0"/>
    <n v="0"/>
    <n v="0"/>
    <n v="0"/>
    <n v="0"/>
    <n v="0"/>
    <n v="0"/>
    <n v="1519404"/>
    <x v="26"/>
    <s v="marianocordoba.me"/>
    <n v="0"/>
    <n v="0"/>
    <n v="0"/>
    <n v="0"/>
    <n v="0"/>
    <n v="0"/>
    <n v="0"/>
    <n v="0"/>
    <n v="0"/>
    <n v="0"/>
    <n v="0"/>
    <n v="0"/>
    <n v="0"/>
  </r>
  <r>
    <x v="12"/>
    <s v="2371233-william greiner-id-mag.com"/>
    <n v="3"/>
    <n v="0"/>
    <n v="0"/>
    <n v="0"/>
    <n v="0"/>
    <n v="0"/>
    <n v="0"/>
    <n v="0"/>
    <n v="0"/>
    <n v="0"/>
    <n v="2371233"/>
    <x v="72"/>
    <s v="id-mag.com"/>
    <n v="0"/>
    <n v="0"/>
    <n v="0"/>
    <n v="0"/>
    <n v="0"/>
    <n v="0"/>
    <n v="0"/>
    <n v="0"/>
    <n v="0"/>
    <n v="0"/>
    <n v="0"/>
    <n v="0"/>
    <n v="0"/>
  </r>
  <r>
    <x v="12"/>
    <s v="154911-CouponCabin LLC-www.couponcabin.com"/>
    <n v="1"/>
    <n v="0"/>
    <n v="0"/>
    <n v="0"/>
    <n v="0"/>
    <n v="0"/>
    <n v="0"/>
    <n v="0"/>
    <n v="0"/>
    <n v="0"/>
    <n v="154911"/>
    <x v="21"/>
    <s v="www.couponcabin.com"/>
    <n v="0"/>
    <n v="0"/>
    <n v="0"/>
    <n v="0"/>
    <n v="0"/>
    <n v="0"/>
    <n v="0"/>
    <n v="0"/>
    <n v="0"/>
    <n v="0"/>
    <n v="0"/>
    <n v="0"/>
    <n v="0"/>
  </r>
  <r>
    <x v="12"/>
    <s v="318676-Capital Intellect Inc.-www.befrugal.com"/>
    <n v="1"/>
    <n v="0"/>
    <n v="0"/>
    <n v="0"/>
    <n v="0"/>
    <n v="0"/>
    <n v="0"/>
    <n v="0"/>
    <n v="0"/>
    <n v="0"/>
    <n v="318676"/>
    <x v="31"/>
    <s v="www.befrugal.com"/>
    <n v="0"/>
    <n v="0"/>
    <n v="0"/>
    <n v="0"/>
    <n v="0"/>
    <n v="0"/>
    <n v="0"/>
    <n v="0"/>
    <n v="0"/>
    <n v="0"/>
    <n v="0"/>
    <n v="0"/>
    <n v="0"/>
  </r>
  <r>
    <x v="12"/>
    <s v="1273061-BRAND REWARD (HONG KONG) LIMITED-www.brandreward.com/"/>
    <n v="1"/>
    <n v="0"/>
    <n v="0"/>
    <n v="0"/>
    <n v="0"/>
    <n v="0"/>
    <n v="0"/>
    <n v="0"/>
    <n v="0"/>
    <n v="0"/>
    <n v="1273061"/>
    <x v="33"/>
    <s v="www.brandreward.com/"/>
    <n v="0"/>
    <n v="0"/>
    <n v="0"/>
    <n v="0"/>
    <n v="0"/>
    <n v="0"/>
    <n v="0"/>
    <n v="0"/>
    <n v="0"/>
    <n v="0"/>
    <n v="0"/>
    <n v="0"/>
    <n v="0"/>
  </r>
  <r>
    <x v="12"/>
    <s v="1307407-VerticalScope Inc.-thesleepjudge.com"/>
    <n v="1"/>
    <n v="0"/>
    <n v="0"/>
    <n v="0"/>
    <n v="0"/>
    <n v="0"/>
    <n v="0"/>
    <n v="0"/>
    <n v="0"/>
    <n v="0"/>
    <n v="1307407"/>
    <x v="34"/>
    <s v="thesleepjudge.com"/>
    <n v="0"/>
    <n v="0"/>
    <n v="0"/>
    <n v="0"/>
    <n v="0"/>
    <n v="0"/>
    <n v="0"/>
    <n v="0"/>
    <n v="0"/>
    <n v="0"/>
    <n v="0"/>
    <n v="0"/>
    <n v="0"/>
  </r>
  <r>
    <x v="12"/>
    <s v="1538097-Wildfire Systems Inc.-wildfire-corp.com"/>
    <n v="1"/>
    <n v="0"/>
    <n v="0"/>
    <n v="0"/>
    <n v="0"/>
    <n v="0"/>
    <n v="0"/>
    <n v="0"/>
    <n v="0"/>
    <n v="0"/>
    <n v="1538097"/>
    <x v="36"/>
    <s v="wildfire-corp.com"/>
    <n v="0"/>
    <n v="0"/>
    <n v="0"/>
    <n v="0"/>
    <n v="0"/>
    <n v="0"/>
    <n v="0"/>
    <n v="0"/>
    <n v="0"/>
    <n v="0"/>
    <n v="0"/>
    <n v="0"/>
    <n v="0"/>
  </r>
  <r>
    <x v="12"/>
    <s v="1649859-Mattress Advisor-www.mattressadvisor.com/"/>
    <n v="1"/>
    <n v="0"/>
    <n v="0"/>
    <n v="0"/>
    <n v="0"/>
    <n v="0"/>
    <n v="0"/>
    <n v="0"/>
    <n v="0"/>
    <n v="0"/>
    <n v="1649859"/>
    <x v="69"/>
    <s v="www.mattressadvisor.com/"/>
    <n v="0"/>
    <n v="0"/>
    <n v="0"/>
    <n v="0"/>
    <n v="0"/>
    <n v="0"/>
    <n v="0"/>
    <n v="0"/>
    <n v="0"/>
    <n v="0"/>
    <n v="0"/>
    <n v="0"/>
    <n v="0"/>
  </r>
  <r>
    <x v="12"/>
    <s v="1868351-Liberty Labs Ltd-www.libertyvaults.com"/>
    <n v="1"/>
    <n v="0"/>
    <n v="0"/>
    <n v="0"/>
    <n v="0"/>
    <n v="0"/>
    <n v="0"/>
    <n v="0"/>
    <n v="0"/>
    <n v="0"/>
    <n v="1868351"/>
    <x v="53"/>
    <s v="www.libertyvaults.com"/>
    <n v="0"/>
    <n v="0"/>
    <n v="0"/>
    <n v="0"/>
    <n v="0"/>
    <n v="0"/>
    <n v="0"/>
    <n v="0"/>
    <n v="0"/>
    <n v="0"/>
    <n v="0"/>
    <n v="0"/>
    <n v="0"/>
  </r>
  <r>
    <x v="12"/>
    <s v="2029250-CNN Interactive Group-www.cnn.com/cnn-underscored/"/>
    <n v="1"/>
    <n v="0"/>
    <n v="0"/>
    <n v="0"/>
    <n v="0"/>
    <n v="0"/>
    <n v="0"/>
    <n v="0"/>
    <n v="0"/>
    <n v="0"/>
    <n v="2029250"/>
    <x v="41"/>
    <s v="www.cnn.com/cnn-underscored/"/>
    <n v="0"/>
    <n v="0"/>
    <n v="0"/>
    <n v="0"/>
    <n v="0"/>
    <n v="0"/>
    <n v="0"/>
    <n v="0"/>
    <n v="0"/>
    <n v="0"/>
    <n v="0"/>
    <n v="0"/>
    <n v="0"/>
  </r>
  <r>
    <x v="12"/>
    <s v="2075116-Arif Bilal-www.fivestarcoupon.com/"/>
    <n v="1"/>
    <n v="0"/>
    <n v="0"/>
    <n v="0"/>
    <n v="0"/>
    <n v="0"/>
    <n v="0"/>
    <n v="0"/>
    <n v="0"/>
    <n v="0"/>
    <n v="2075116"/>
    <x v="50"/>
    <s v="www.fivestarcoupon.com/"/>
    <n v="0"/>
    <n v="0"/>
    <n v="0"/>
    <n v="0"/>
    <n v="0"/>
    <n v="0"/>
    <n v="0"/>
    <n v="0"/>
    <n v="0"/>
    <n v="0"/>
    <n v="0"/>
    <n v="0"/>
    <n v="0"/>
  </r>
  <r>
    <x v="12"/>
    <s v="2122913-James Morse-www.facebook.com/JamesScottMorse"/>
    <n v="1"/>
    <n v="0"/>
    <n v="0"/>
    <n v="0"/>
    <n v="0"/>
    <n v="0"/>
    <n v="0"/>
    <n v="0"/>
    <n v="0"/>
    <n v="0"/>
    <n v="2122913"/>
    <x v="80"/>
    <s v="www.facebook.com/JamesScottMorse"/>
    <n v="0"/>
    <n v="0"/>
    <n v="0"/>
    <n v="0"/>
    <n v="0"/>
    <n v="0"/>
    <n v="0"/>
    <n v="0"/>
    <n v="0"/>
    <n v="0"/>
    <n v="0"/>
    <n v="0"/>
    <n v="0"/>
  </r>
  <r>
    <x v="13"/>
    <s v="201285-12 Interactive LLC-www.perkspot.com"/>
    <n v="36"/>
    <n v="495.46"/>
    <n v="0"/>
    <n v="495.46"/>
    <n v="3"/>
    <n v="0"/>
    <n v="14.86"/>
    <n v="8.33"/>
    <n v="41.28"/>
    <n v="165.15"/>
    <n v="201285"/>
    <x v="5"/>
    <s v="www.perkspot.com"/>
    <n v="3"/>
    <n v="0"/>
    <n v="0"/>
    <n v="0"/>
    <n v="0"/>
    <n v="0"/>
    <n v="14.86"/>
    <n v="0"/>
    <n v="0"/>
    <n v="0"/>
    <n v="0"/>
    <n v="0"/>
    <n v="2.97"/>
  </r>
  <r>
    <x v="13"/>
    <s v="1238556-YIELDKIT GmbH-yieldkit.com"/>
    <n v="13"/>
    <n v="215.1"/>
    <n v="0"/>
    <n v="215.1"/>
    <n v="1"/>
    <n v="0"/>
    <n v="6.45"/>
    <n v="7.69"/>
    <n v="49.62"/>
    <n v="215.1"/>
    <n v="1238556"/>
    <x v="3"/>
    <s v="yieldkit.com"/>
    <n v="1"/>
    <n v="0"/>
    <n v="0"/>
    <n v="0"/>
    <n v="0"/>
    <n v="0"/>
    <n v="6.45"/>
    <n v="0"/>
    <n v="0"/>
    <n v="0"/>
    <n v="0"/>
    <n v="0"/>
    <n v="1.29"/>
  </r>
  <r>
    <x v="13"/>
    <s v="2053730-WW Affiliate-www.yourbestmattress247.com"/>
    <n v="7"/>
    <n v="199"/>
    <n v="0"/>
    <n v="199"/>
    <n v="1"/>
    <n v="0"/>
    <n v="5.97"/>
    <n v="14.29"/>
    <n v="85.29"/>
    <n v="199"/>
    <n v="2053730"/>
    <x v="12"/>
    <s v="www.yourbestmattress247.com"/>
    <n v="1"/>
    <n v="0"/>
    <n v="0"/>
    <n v="0"/>
    <n v="0"/>
    <n v="0"/>
    <n v="5.97"/>
    <n v="0"/>
    <n v="0"/>
    <n v="0"/>
    <n v="0"/>
    <n v="0"/>
    <n v="1.19"/>
  </r>
  <r>
    <x v="13"/>
    <s v="748814-Reviewed.com-www.reviewed.com"/>
    <n v="5"/>
    <n v="170.1"/>
    <n v="0"/>
    <n v="170.1"/>
    <n v="1"/>
    <n v="0"/>
    <n v="30.62"/>
    <n v="20"/>
    <n v="612.4"/>
    <n v="170.1"/>
    <n v="748814"/>
    <x v="13"/>
    <s v="www.reviewed.com"/>
    <n v="1"/>
    <n v="0"/>
    <n v="0"/>
    <n v="0"/>
    <n v="0"/>
    <n v="0"/>
    <n v="30.62"/>
    <n v="0"/>
    <n v="0"/>
    <n v="0"/>
    <n v="0"/>
    <n v="0"/>
    <n v="6.12"/>
  </r>
  <r>
    <x v="13"/>
    <s v="213636-SurfMyAds.com-www.promocodes.com"/>
    <n v="3"/>
    <n v="138.38"/>
    <n v="0"/>
    <n v="138.38"/>
    <n v="1"/>
    <n v="0"/>
    <n v="4.1500000000000004"/>
    <n v="33.33"/>
    <n v="138.33000000000001"/>
    <n v="138.38"/>
    <n v="213636"/>
    <x v="22"/>
    <s v="www.promocodes.com"/>
    <n v="1"/>
    <n v="0"/>
    <n v="0"/>
    <n v="0"/>
    <n v="0"/>
    <n v="0"/>
    <n v="4.1500000000000004"/>
    <n v="0"/>
    <n v="0"/>
    <n v="0"/>
    <n v="0"/>
    <n v="0"/>
    <n v="0.83"/>
  </r>
  <r>
    <x v="13"/>
    <s v="445875-Demand.io-knoji.com"/>
    <n v="12"/>
    <n v="132.30000000000001"/>
    <n v="0"/>
    <n v="132.30000000000001"/>
    <n v="1"/>
    <n v="0"/>
    <n v="3.97"/>
    <n v="8.33"/>
    <n v="33.08"/>
    <n v="132.30000000000001"/>
    <n v="445875"/>
    <x v="6"/>
    <s v="knoji.com"/>
    <n v="1"/>
    <n v="0"/>
    <n v="0"/>
    <n v="0"/>
    <n v="0"/>
    <n v="0"/>
    <n v="3.97"/>
    <n v="0"/>
    <n v="0"/>
    <n v="0"/>
    <n v="0"/>
    <n v="0"/>
    <n v="0.79"/>
  </r>
  <r>
    <x v="13"/>
    <s v="389818-VigLink Inc.-www.viglink.com"/>
    <n v="17"/>
    <n v="120"/>
    <n v="0"/>
    <n v="120"/>
    <n v="1"/>
    <n v="0"/>
    <n v="3.6"/>
    <n v="5.88"/>
    <n v="21.18"/>
    <n v="120"/>
    <n v="389818"/>
    <x v="15"/>
    <s v="www.viglink.com"/>
    <n v="1"/>
    <n v="0"/>
    <n v="0"/>
    <n v="0"/>
    <n v="0"/>
    <n v="0"/>
    <n v="3.6"/>
    <n v="0"/>
    <n v="0"/>
    <n v="0"/>
    <n v="0"/>
    <n v="0"/>
    <n v="0.72"/>
  </r>
  <r>
    <x v="13"/>
    <s v="725033-ID.me Inc.-shop.id.me"/>
    <n v="69"/>
    <n v="77"/>
    <n v="0"/>
    <n v="77"/>
    <n v="2"/>
    <n v="0"/>
    <n v="2.31"/>
    <n v="2.9"/>
    <n v="3.35"/>
    <n v="38.5"/>
    <n v="725033"/>
    <x v="1"/>
    <s v="shop.id.me"/>
    <n v="2"/>
    <n v="0"/>
    <n v="0"/>
    <n v="0"/>
    <n v="0"/>
    <n v="0"/>
    <n v="2.31"/>
    <n v="0"/>
    <n v="0"/>
    <n v="0"/>
    <n v="0"/>
    <n v="0"/>
    <n v="0.46"/>
  </r>
  <r>
    <x v="13"/>
    <s v="314743-Skimbit Ltd-skimlinks.com"/>
    <n v="98"/>
    <n v="0"/>
    <n v="0"/>
    <n v="0"/>
    <n v="0"/>
    <n v="0"/>
    <n v="0"/>
    <n v="0"/>
    <n v="0"/>
    <n v="0"/>
    <n v="314743"/>
    <x v="9"/>
    <s v="skimlinks.com"/>
    <n v="0"/>
    <n v="0"/>
    <n v="0"/>
    <n v="0"/>
    <n v="0"/>
    <n v="0"/>
    <n v="0"/>
    <n v="0"/>
    <n v="0"/>
    <n v="0"/>
    <n v="0"/>
    <n v="0"/>
    <n v="0"/>
  </r>
  <r>
    <x v="13"/>
    <s v="1088116-Business Insider Inc.-www.businessinsider.com"/>
    <n v="57"/>
    <n v="0"/>
    <n v="0"/>
    <n v="0"/>
    <n v="0"/>
    <n v="0"/>
    <n v="0"/>
    <n v="0"/>
    <n v="0"/>
    <n v="0"/>
    <n v="1088116"/>
    <x v="0"/>
    <s v="www.businessinsider.com"/>
    <n v="0"/>
    <n v="0"/>
    <n v="0"/>
    <n v="0"/>
    <n v="0"/>
    <n v="0"/>
    <n v="0"/>
    <n v="0"/>
    <n v="0"/>
    <n v="0"/>
    <n v="0"/>
    <n v="0"/>
    <n v="0"/>
  </r>
  <r>
    <x v="13"/>
    <s v="1584217-Trends Green-topnaturalmattresses.com"/>
    <n v="56"/>
    <n v="0"/>
    <n v="0"/>
    <n v="0"/>
    <n v="0"/>
    <n v="0"/>
    <n v="0"/>
    <n v="0"/>
    <n v="0"/>
    <n v="0"/>
    <n v="1584217"/>
    <x v="10"/>
    <s v="topnaturalmattresses.com"/>
    <n v="0"/>
    <n v="0"/>
    <n v="0"/>
    <n v="0"/>
    <n v="0"/>
    <n v="0"/>
    <n v="0"/>
    <n v="0"/>
    <n v="0"/>
    <n v="0"/>
    <n v="0"/>
    <n v="0"/>
    <n v="0"/>
  </r>
  <r>
    <x v="13"/>
    <s v="1773960-Tuck.com LLC-tuck.com"/>
    <n v="28"/>
    <n v="0"/>
    <n v="0"/>
    <n v="0"/>
    <n v="0"/>
    <n v="0"/>
    <n v="0"/>
    <n v="0"/>
    <n v="0"/>
    <n v="0"/>
    <n v="1773960"/>
    <x v="11"/>
    <s v="tuck.com"/>
    <n v="0"/>
    <n v="0"/>
    <n v="0"/>
    <n v="0"/>
    <n v="0"/>
    <n v="0"/>
    <n v="0"/>
    <n v="0"/>
    <n v="0"/>
    <n v="0"/>
    <n v="0"/>
    <n v="0"/>
    <n v="0"/>
  </r>
  <r>
    <x v="13"/>
    <s v="1014069-Mutzel Nutrition LLC-highintensityhealth.com/"/>
    <n v="13"/>
    <n v="0"/>
    <n v="0"/>
    <n v="0"/>
    <n v="0"/>
    <n v="0"/>
    <n v="0"/>
    <n v="0"/>
    <n v="0"/>
    <n v="0"/>
    <n v="1014069"/>
    <x v="14"/>
    <s v="highintensityhealth.com/"/>
    <n v="0"/>
    <n v="0"/>
    <n v="0"/>
    <n v="0"/>
    <n v="0"/>
    <n v="0"/>
    <n v="0"/>
    <n v="0"/>
    <n v="0"/>
    <n v="0"/>
    <n v="0"/>
    <n v="0"/>
    <n v="0"/>
  </r>
  <r>
    <x v="13"/>
    <s v="1772040-Meredith Corporation-www.realsimple.com/"/>
    <n v="11"/>
    <n v="0"/>
    <n v="0"/>
    <n v="0"/>
    <n v="0"/>
    <n v="0"/>
    <n v="0"/>
    <n v="0"/>
    <n v="0"/>
    <n v="0"/>
    <n v="1772040"/>
    <x v="17"/>
    <s v="www.realsimple.com/"/>
    <n v="0"/>
    <n v="0"/>
    <n v="0"/>
    <n v="0"/>
    <n v="0"/>
    <n v="0"/>
    <n v="0"/>
    <n v="0"/>
    <n v="0"/>
    <n v="0"/>
    <n v="0"/>
    <n v="0"/>
    <n v="0"/>
  </r>
  <r>
    <x v="13"/>
    <s v="2284878-Tuck.com LLC-www.sleepfoundation.org/"/>
    <n v="10"/>
    <n v="0"/>
    <n v="0"/>
    <n v="0"/>
    <n v="0"/>
    <n v="0"/>
    <n v="0"/>
    <n v="0"/>
    <n v="0"/>
    <n v="0"/>
    <n v="2284878"/>
    <x v="11"/>
    <s v="www.sleepfoundation.org/"/>
    <n v="0"/>
    <n v="0"/>
    <n v="0"/>
    <n v="0"/>
    <n v="0"/>
    <n v="0"/>
    <n v="0"/>
    <n v="0"/>
    <n v="0"/>
    <n v="0"/>
    <n v="0"/>
    <n v="0"/>
    <n v="0"/>
  </r>
  <r>
    <x v="13"/>
    <s v="140995-Savings.com Inc-www.savings.com"/>
    <n v="8"/>
    <n v="0"/>
    <n v="0"/>
    <n v="0"/>
    <n v="0"/>
    <n v="0"/>
    <n v="0"/>
    <n v="0"/>
    <n v="0"/>
    <n v="0"/>
    <n v="140995"/>
    <x v="7"/>
    <s v="www.savings.com"/>
    <n v="0"/>
    <n v="0"/>
    <n v="0"/>
    <n v="0"/>
    <n v="0"/>
    <n v="0"/>
    <n v="0"/>
    <n v="0"/>
    <n v="0"/>
    <n v="0"/>
    <n v="0"/>
    <n v="0"/>
    <n v="0"/>
  </r>
  <r>
    <x v="13"/>
    <s v="136482-Vertive LLC (Offers.com LLC.)-offers.com"/>
    <n v="6"/>
    <n v="0"/>
    <n v="0"/>
    <n v="0"/>
    <n v="0"/>
    <n v="0"/>
    <n v="0"/>
    <n v="0"/>
    <n v="0"/>
    <n v="0"/>
    <n v="136482"/>
    <x v="8"/>
    <s v="offers.com"/>
    <n v="0"/>
    <n v="0"/>
    <n v="0"/>
    <n v="0"/>
    <n v="0"/>
    <n v="0"/>
    <n v="0"/>
    <n v="0"/>
    <n v="0"/>
    <n v="0"/>
    <n v="0"/>
    <n v="0"/>
    <n v="0"/>
  </r>
  <r>
    <x v="13"/>
    <s v="1413766-LinkGains (HK) Limited-www.hotdeals.com"/>
    <n v="6"/>
    <n v="0"/>
    <n v="0"/>
    <n v="0"/>
    <n v="0"/>
    <n v="0"/>
    <n v="0"/>
    <n v="0"/>
    <n v="0"/>
    <n v="0"/>
    <n v="1413766"/>
    <x v="16"/>
    <s v="www.hotdeals.com"/>
    <n v="0"/>
    <n v="0"/>
    <n v="0"/>
    <n v="0"/>
    <n v="0"/>
    <n v="0"/>
    <n v="0"/>
    <n v="0"/>
    <n v="0"/>
    <n v="0"/>
    <n v="0"/>
    <n v="0"/>
    <n v="0"/>
  </r>
  <r>
    <x v="13"/>
    <s v="745788-digidip GmbH-digidip.net"/>
    <n v="5"/>
    <n v="0"/>
    <n v="0"/>
    <n v="0"/>
    <n v="0"/>
    <n v="0"/>
    <n v="0"/>
    <n v="0"/>
    <n v="0"/>
    <n v="0"/>
    <n v="745788"/>
    <x v="18"/>
    <s v="digidip.net"/>
    <n v="0"/>
    <n v="0"/>
    <n v="0"/>
    <n v="0"/>
    <n v="0"/>
    <n v="0"/>
    <n v="0"/>
    <n v="0"/>
    <n v="0"/>
    <n v="0"/>
    <n v="0"/>
    <n v="0"/>
    <n v="0"/>
  </r>
  <r>
    <x v="13"/>
    <s v="721112-For Me To Coupon-www.fmtc.co"/>
    <n v="4"/>
    <n v="0"/>
    <n v="0"/>
    <n v="0"/>
    <n v="0"/>
    <n v="0"/>
    <n v="0"/>
    <n v="0"/>
    <n v="0"/>
    <n v="0"/>
    <n v="721112"/>
    <x v="81"/>
    <s v="www.fmtc.co"/>
    <n v="0"/>
    <n v="0"/>
    <n v="0"/>
    <n v="0"/>
    <n v="0"/>
    <n v="0"/>
    <n v="0"/>
    <n v="0"/>
    <n v="0"/>
    <n v="0"/>
    <n v="0"/>
    <n v="0"/>
    <n v="0"/>
  </r>
  <r>
    <x v="13"/>
    <s v="1663605-GSG North America LLC-coupons.businessinsider.com/"/>
    <n v="4"/>
    <n v="0"/>
    <n v="0"/>
    <n v="0"/>
    <n v="0"/>
    <n v="0"/>
    <n v="0"/>
    <n v="0"/>
    <n v="0"/>
    <n v="0"/>
    <n v="1663605"/>
    <x v="47"/>
    <s v="coupons.businessinsider.com/"/>
    <n v="0"/>
    <n v="0"/>
    <n v="0"/>
    <n v="0"/>
    <n v="0"/>
    <n v="0"/>
    <n v="0"/>
    <n v="0"/>
    <n v="0"/>
    <n v="0"/>
    <n v="0"/>
    <n v="0"/>
    <n v="0"/>
  </r>
  <r>
    <x v="13"/>
    <s v="514792-CBS Interactive Inc.-www.cnet.com"/>
    <n v="3"/>
    <n v="0"/>
    <n v="0"/>
    <n v="0"/>
    <n v="0"/>
    <n v="0"/>
    <n v="0"/>
    <n v="0"/>
    <n v="0"/>
    <n v="0"/>
    <n v="514792"/>
    <x v="19"/>
    <s v="www.cnet.com"/>
    <n v="0"/>
    <n v="0"/>
    <n v="0"/>
    <n v="0"/>
    <n v="0"/>
    <n v="0"/>
    <n v="0"/>
    <n v="0"/>
    <n v="0"/>
    <n v="0"/>
    <n v="0"/>
    <n v="0"/>
    <n v="0"/>
  </r>
  <r>
    <x v="13"/>
    <s v="1242889-RIZKNOWS LLC-www.rizknows.com"/>
    <n v="3"/>
    <n v="0"/>
    <n v="0"/>
    <n v="0"/>
    <n v="0"/>
    <n v="0"/>
    <n v="0"/>
    <n v="0"/>
    <n v="0"/>
    <n v="0"/>
    <n v="1242889"/>
    <x v="25"/>
    <s v="www.rizknows.com"/>
    <n v="0"/>
    <n v="0"/>
    <n v="0"/>
    <n v="0"/>
    <n v="0"/>
    <n v="0"/>
    <n v="0"/>
    <n v="0"/>
    <n v="0"/>
    <n v="0"/>
    <n v="0"/>
    <n v="0"/>
    <n v="0"/>
  </r>
  <r>
    <x v="13"/>
    <s v="1375544-REE SOLUTIONS INC-www.reecoupons.com"/>
    <n v="3"/>
    <n v="0"/>
    <n v="0"/>
    <n v="0"/>
    <n v="0"/>
    <n v="0"/>
    <n v="0"/>
    <n v="0"/>
    <n v="0"/>
    <n v="0"/>
    <n v="1375544"/>
    <x v="45"/>
    <s v="www.reecoupons.com"/>
    <n v="0"/>
    <n v="0"/>
    <n v="0"/>
    <n v="0"/>
    <n v="0"/>
    <n v="0"/>
    <n v="0"/>
    <n v="0"/>
    <n v="0"/>
    <n v="0"/>
    <n v="0"/>
    <n v="0"/>
    <n v="0"/>
  </r>
  <r>
    <x v="13"/>
    <s v="1519404-Mariano Cordoba-marianocordoba.me"/>
    <n v="3"/>
    <n v="0"/>
    <n v="0"/>
    <n v="0"/>
    <n v="0"/>
    <n v="0"/>
    <n v="0"/>
    <n v="0"/>
    <n v="0"/>
    <n v="0"/>
    <n v="1519404"/>
    <x v="26"/>
    <s v="marianocordoba.me"/>
    <n v="0"/>
    <n v="0"/>
    <n v="0"/>
    <n v="0"/>
    <n v="0"/>
    <n v="0"/>
    <n v="0"/>
    <n v="0"/>
    <n v="0"/>
    <n v="0"/>
    <n v="0"/>
    <n v="0"/>
    <n v="0"/>
  </r>
  <r>
    <x v="13"/>
    <s v="1578665-Mattress Advisor LLC-sleepopolis.com"/>
    <n v="3"/>
    <n v="0"/>
    <n v="0"/>
    <n v="0"/>
    <n v="0"/>
    <n v="0"/>
    <n v="0"/>
    <n v="0"/>
    <n v="0"/>
    <n v="0"/>
    <n v="1578665"/>
    <x v="27"/>
    <s v="sleepopolis.com"/>
    <n v="0"/>
    <n v="0"/>
    <n v="0"/>
    <n v="0"/>
    <n v="0"/>
    <n v="0"/>
    <n v="0"/>
    <n v="0"/>
    <n v="0"/>
    <n v="0"/>
    <n v="0"/>
    <n v="0"/>
    <n v="0"/>
  </r>
  <r>
    <x v="13"/>
    <s v="193744-shareasaleaffnl@rmn.com-www.retailmenot.com"/>
    <n v="2"/>
    <n v="0"/>
    <n v="0"/>
    <n v="0"/>
    <n v="0"/>
    <n v="0"/>
    <n v="0"/>
    <n v="0"/>
    <n v="0"/>
    <n v="0"/>
    <n v="193744"/>
    <x v="30"/>
    <s v="www.retailmenot.com"/>
    <n v="0"/>
    <n v="0"/>
    <n v="0"/>
    <n v="0"/>
    <n v="0"/>
    <n v="0"/>
    <n v="0"/>
    <n v="0"/>
    <n v="0"/>
    <n v="0"/>
    <n v="0"/>
    <n v="0"/>
    <n v="0"/>
  </r>
  <r>
    <x v="13"/>
    <s v="742098-adgoal GmbH-www.adgoal.net"/>
    <n v="2"/>
    <n v="0"/>
    <n v="0"/>
    <n v="0"/>
    <n v="0"/>
    <n v="0"/>
    <n v="0"/>
    <n v="0"/>
    <n v="0"/>
    <n v="0"/>
    <n v="742098"/>
    <x v="23"/>
    <s v="www.adgoal.net"/>
    <n v="0"/>
    <n v="0"/>
    <n v="0"/>
    <n v="0"/>
    <n v="0"/>
    <n v="0"/>
    <n v="0"/>
    <n v="0"/>
    <n v="0"/>
    <n v="0"/>
    <n v="0"/>
    <n v="0"/>
    <n v="0"/>
  </r>
  <r>
    <x v="13"/>
    <s v="1140999-Chichihaha Limited-www.couponbirds.com"/>
    <n v="2"/>
    <n v="0"/>
    <n v="0"/>
    <n v="0"/>
    <n v="0"/>
    <n v="0"/>
    <n v="0"/>
    <n v="0"/>
    <n v="0"/>
    <n v="0"/>
    <n v="1140999"/>
    <x v="40"/>
    <s v="www.couponbirds.com"/>
    <n v="0"/>
    <n v="0"/>
    <n v="0"/>
    <n v="0"/>
    <n v="0"/>
    <n v="0"/>
    <n v="0"/>
    <n v="0"/>
    <n v="0"/>
    <n v="0"/>
    <n v="0"/>
    <n v="0"/>
    <n v="0"/>
  </r>
  <r>
    <x v="13"/>
    <s v="1418817-MK INFOTECH LIMITED-www.anycodes.com"/>
    <n v="2"/>
    <n v="0"/>
    <n v="0"/>
    <n v="0"/>
    <n v="0"/>
    <n v="0"/>
    <n v="0"/>
    <n v="0"/>
    <n v="0"/>
    <n v="0"/>
    <n v="1418817"/>
    <x v="46"/>
    <s v="www.anycodes.com"/>
    <n v="0"/>
    <n v="0"/>
    <n v="0"/>
    <n v="0"/>
    <n v="0"/>
    <n v="0"/>
    <n v="0"/>
    <n v="0"/>
    <n v="0"/>
    <n v="0"/>
    <n v="0"/>
    <n v="0"/>
    <n v="0"/>
  </r>
  <r>
    <x v="13"/>
    <s v="2015681-Fresh Healthy Media LLC-vegnews.com/"/>
    <n v="2"/>
    <n v="0"/>
    <n v="0"/>
    <n v="0"/>
    <n v="0"/>
    <n v="0"/>
    <n v="0"/>
    <n v="0"/>
    <n v="0"/>
    <n v="0"/>
    <n v="2015681"/>
    <x v="62"/>
    <s v="vegnews.com/"/>
    <n v="0"/>
    <n v="0"/>
    <n v="0"/>
    <n v="0"/>
    <n v="0"/>
    <n v="0"/>
    <n v="0"/>
    <n v="0"/>
    <n v="0"/>
    <n v="0"/>
    <n v="0"/>
    <n v="0"/>
    <n v="0"/>
  </r>
  <r>
    <x v="13"/>
    <s v="2371233-william greiner-id-mag.com"/>
    <n v="2"/>
    <n v="0"/>
    <n v="0"/>
    <n v="0"/>
    <n v="0"/>
    <n v="0"/>
    <n v="0"/>
    <n v="0"/>
    <n v="0"/>
    <n v="0"/>
    <n v="2371233"/>
    <x v="72"/>
    <s v="id-mag.com"/>
    <n v="0"/>
    <n v="0"/>
    <n v="0"/>
    <n v="0"/>
    <n v="0"/>
    <n v="0"/>
    <n v="0"/>
    <n v="0"/>
    <n v="0"/>
    <n v="0"/>
    <n v="0"/>
    <n v="0"/>
    <n v="0"/>
  </r>
  <r>
    <x v="13"/>
    <s v="64460-eDealinfo USA Inc.-www.edealinfo.com"/>
    <n v="1"/>
    <n v="0"/>
    <n v="0"/>
    <n v="0"/>
    <n v="0"/>
    <n v="0"/>
    <n v="0"/>
    <n v="0"/>
    <n v="0"/>
    <n v="0"/>
    <n v="64460"/>
    <x v="82"/>
    <s v="www.edealinfo.com"/>
    <n v="0"/>
    <n v="0"/>
    <n v="0"/>
    <n v="0"/>
    <n v="0"/>
    <n v="0"/>
    <n v="0"/>
    <n v="0"/>
    <n v="0"/>
    <n v="0"/>
    <n v="0"/>
    <n v="0"/>
    <n v="0"/>
  </r>
  <r>
    <x v="13"/>
    <s v="154911-CouponCabin LLC-www.couponcabin.com"/>
    <n v="1"/>
    <n v="0"/>
    <n v="0"/>
    <n v="0"/>
    <n v="0"/>
    <n v="0"/>
    <n v="0"/>
    <n v="0"/>
    <n v="0"/>
    <n v="0"/>
    <n v="154911"/>
    <x v="21"/>
    <s v="www.couponcabin.com"/>
    <n v="0"/>
    <n v="0"/>
    <n v="0"/>
    <n v="0"/>
    <n v="0"/>
    <n v="0"/>
    <n v="0"/>
    <n v="0"/>
    <n v="0"/>
    <n v="0"/>
    <n v="0"/>
    <n v="0"/>
    <n v="0"/>
  </r>
  <r>
    <x v="13"/>
    <s v="318676-Capital Intellect Inc.-www.befrugal.com"/>
    <n v="1"/>
    <n v="0"/>
    <n v="0"/>
    <n v="0"/>
    <n v="0"/>
    <n v="0"/>
    <n v="0"/>
    <n v="0"/>
    <n v="0"/>
    <n v="0"/>
    <n v="318676"/>
    <x v="31"/>
    <s v="www.befrugal.com"/>
    <n v="0"/>
    <n v="0"/>
    <n v="0"/>
    <n v="0"/>
    <n v="0"/>
    <n v="0"/>
    <n v="0"/>
    <n v="0"/>
    <n v="0"/>
    <n v="0"/>
    <n v="0"/>
    <n v="0"/>
    <n v="0"/>
  </r>
  <r>
    <x v="13"/>
    <s v="346980-Evreward LLC-evreward.com"/>
    <n v="1"/>
    <n v="0"/>
    <n v="0"/>
    <n v="0"/>
    <n v="0"/>
    <n v="0"/>
    <n v="0"/>
    <n v="0"/>
    <n v="0"/>
    <n v="0"/>
    <n v="346980"/>
    <x v="83"/>
    <s v="evreward.com"/>
    <n v="0"/>
    <n v="0"/>
    <n v="0"/>
    <n v="0"/>
    <n v="0"/>
    <n v="0"/>
    <n v="0"/>
    <n v="0"/>
    <n v="0"/>
    <n v="0"/>
    <n v="0"/>
    <n v="0"/>
    <n v="0"/>
  </r>
  <r>
    <x v="13"/>
    <s v="824466-Mazitsol-wativ.com"/>
    <n v="1"/>
    <n v="0"/>
    <n v="0"/>
    <n v="0"/>
    <n v="0"/>
    <n v="0"/>
    <n v="0"/>
    <n v="0"/>
    <n v="0"/>
    <n v="0"/>
    <n v="824466"/>
    <x v="61"/>
    <s v="wativ.com"/>
    <n v="0"/>
    <n v="0"/>
    <n v="0"/>
    <n v="0"/>
    <n v="0"/>
    <n v="0"/>
    <n v="0"/>
    <n v="0"/>
    <n v="0"/>
    <n v="0"/>
    <n v="0"/>
    <n v="0"/>
    <n v="0"/>
  </r>
  <r>
    <x v="13"/>
    <s v="1225169-Vox Media LLC-www.voxmedia.com/a/vm"/>
    <n v="1"/>
    <n v="0"/>
    <n v="0"/>
    <n v="0"/>
    <n v="0"/>
    <n v="0"/>
    <n v="0"/>
    <n v="0"/>
    <n v="0"/>
    <n v="0"/>
    <n v="1225169"/>
    <x v="24"/>
    <s v="www.voxmedia.com/a/vm"/>
    <n v="0"/>
    <n v="0"/>
    <n v="0"/>
    <n v="0"/>
    <n v="0"/>
    <n v="0"/>
    <n v="0"/>
    <n v="0"/>
    <n v="0"/>
    <n v="0"/>
    <n v="0"/>
    <n v="0"/>
    <n v="0"/>
  </r>
  <r>
    <x v="13"/>
    <s v="1250612-Refermate LLC-www.refermate.com"/>
    <n v="1"/>
    <n v="0"/>
    <n v="0"/>
    <n v="0"/>
    <n v="0"/>
    <n v="0"/>
    <n v="0"/>
    <n v="0"/>
    <n v="0"/>
    <n v="0"/>
    <n v="1250612"/>
    <x v="76"/>
    <s v="www.refermate.com"/>
    <n v="0"/>
    <n v="0"/>
    <n v="0"/>
    <n v="0"/>
    <n v="0"/>
    <n v="0"/>
    <n v="0"/>
    <n v="0"/>
    <n v="0"/>
    <n v="0"/>
    <n v="0"/>
    <n v="0"/>
    <n v="0"/>
  </r>
  <r>
    <x v="13"/>
    <s v="1273061-BRAND REWARD (HONG KONG) LIMITED-www.brandreward.com/"/>
    <n v="1"/>
    <n v="0"/>
    <n v="0"/>
    <n v="0"/>
    <n v="0"/>
    <n v="0"/>
    <n v="0"/>
    <n v="0"/>
    <n v="0"/>
    <n v="0"/>
    <n v="1273061"/>
    <x v="33"/>
    <s v="www.brandreward.com/"/>
    <n v="0"/>
    <n v="0"/>
    <n v="0"/>
    <n v="0"/>
    <n v="0"/>
    <n v="0"/>
    <n v="0"/>
    <n v="0"/>
    <n v="0"/>
    <n v="0"/>
    <n v="0"/>
    <n v="0"/>
    <n v="0"/>
  </r>
  <r>
    <x v="13"/>
    <s v="1393373-CPAR Media Corp-www.coupongrind.com"/>
    <n v="1"/>
    <n v="0"/>
    <n v="0"/>
    <n v="0"/>
    <n v="0"/>
    <n v="0"/>
    <n v="0"/>
    <n v="0"/>
    <n v="0"/>
    <n v="0"/>
    <n v="1393373"/>
    <x v="35"/>
    <s v="www.coupongrind.com"/>
    <n v="0"/>
    <n v="0"/>
    <n v="0"/>
    <n v="0"/>
    <n v="0"/>
    <n v="0"/>
    <n v="0"/>
    <n v="0"/>
    <n v="0"/>
    <n v="0"/>
    <n v="0"/>
    <n v="0"/>
    <n v="0"/>
  </r>
  <r>
    <x v="13"/>
    <s v="1597262-Tabita Simrin-www.pennysaviour.com/"/>
    <n v="1"/>
    <n v="0"/>
    <n v="0"/>
    <n v="0"/>
    <n v="0"/>
    <n v="0"/>
    <n v="0"/>
    <n v="0"/>
    <n v="0"/>
    <n v="0"/>
    <n v="1597262"/>
    <x v="84"/>
    <s v="www.pennysaviour.com/"/>
    <n v="0"/>
    <n v="0"/>
    <n v="0"/>
    <n v="0"/>
    <n v="0"/>
    <n v="0"/>
    <n v="0"/>
    <n v="0"/>
    <n v="0"/>
    <n v="0"/>
    <n v="0"/>
    <n v="0"/>
    <n v="0"/>
  </r>
  <r>
    <x v="13"/>
    <s v="1738672-Bin Yin-www.couponpa.com"/>
    <n v="1"/>
    <n v="0"/>
    <n v="0"/>
    <n v="0"/>
    <n v="0"/>
    <n v="0"/>
    <n v="0"/>
    <n v="0"/>
    <n v="0"/>
    <n v="0"/>
    <n v="1738672"/>
    <x v="48"/>
    <s v="www.couponpa.com"/>
    <n v="0"/>
    <n v="0"/>
    <n v="0"/>
    <n v="0"/>
    <n v="0"/>
    <n v="0"/>
    <n v="0"/>
    <n v="0"/>
    <n v="0"/>
    <n v="0"/>
    <n v="0"/>
    <n v="0"/>
    <n v="0"/>
  </r>
  <r>
    <x v="13"/>
    <s v="1778626-Syed Hammad Hussain-www.couponsvolcano.com"/>
    <n v="1"/>
    <n v="0"/>
    <n v="0"/>
    <n v="0"/>
    <n v="0"/>
    <n v="0"/>
    <n v="0"/>
    <n v="0"/>
    <n v="0"/>
    <n v="0"/>
    <n v="1778626"/>
    <x v="52"/>
    <s v="www.couponsvolcano.com"/>
    <n v="0"/>
    <n v="0"/>
    <n v="0"/>
    <n v="0"/>
    <n v="0"/>
    <n v="0"/>
    <n v="0"/>
    <n v="0"/>
    <n v="0"/>
    <n v="0"/>
    <n v="0"/>
    <n v="0"/>
    <n v="0"/>
  </r>
  <r>
    <x v="13"/>
    <s v="1869309-Mattress Media LLC.-mattressnerd.com"/>
    <n v="1"/>
    <n v="0"/>
    <n v="0"/>
    <n v="0"/>
    <n v="0"/>
    <n v="0"/>
    <n v="0"/>
    <n v="0"/>
    <n v="0"/>
    <n v="0"/>
    <n v="1869309"/>
    <x v="57"/>
    <s v="mattressnerd.com"/>
    <n v="0"/>
    <n v="0"/>
    <n v="0"/>
    <n v="0"/>
    <n v="0"/>
    <n v="0"/>
    <n v="0"/>
    <n v="0"/>
    <n v="0"/>
    <n v="0"/>
    <n v="0"/>
    <n v="0"/>
    <n v="0"/>
  </r>
  <r>
    <x v="13"/>
    <s v="2029250-CNN Interactive Group-www.cnn.com/cnn-underscored/"/>
    <n v="1"/>
    <n v="0"/>
    <n v="0"/>
    <n v="0"/>
    <n v="0"/>
    <n v="0"/>
    <n v="0"/>
    <n v="0"/>
    <n v="0"/>
    <n v="0"/>
    <n v="2029250"/>
    <x v="41"/>
    <s v="www.cnn.com/cnn-underscored/"/>
    <n v="0"/>
    <n v="0"/>
    <n v="0"/>
    <n v="0"/>
    <n v="0"/>
    <n v="0"/>
    <n v="0"/>
    <n v="0"/>
    <n v="0"/>
    <n v="0"/>
    <n v="0"/>
    <n v="0"/>
    <n v="0"/>
  </r>
  <r>
    <x v="13"/>
    <s v="2058900-Kimberly Kornfeld-medium.com/@kim.straus"/>
    <n v="1"/>
    <n v="0"/>
    <n v="0"/>
    <n v="0"/>
    <n v="0"/>
    <n v="0"/>
    <n v="0"/>
    <n v="0"/>
    <n v="0"/>
    <n v="0"/>
    <n v="2058900"/>
    <x v="85"/>
    <s v="medium.com/@kim.straus"/>
    <n v="0"/>
    <n v="0"/>
    <n v="0"/>
    <n v="0"/>
    <n v="0"/>
    <n v="0"/>
    <n v="0"/>
    <n v="0"/>
    <n v="0"/>
    <n v="0"/>
    <n v="0"/>
    <n v="0"/>
    <n v="0"/>
  </r>
  <r>
    <x v="13"/>
    <s v="2075116-Arif Bilal-www.fivestarcoupon.com/"/>
    <n v="1"/>
    <n v="0"/>
    <n v="0"/>
    <n v="0"/>
    <n v="0"/>
    <n v="0"/>
    <n v="0"/>
    <n v="0"/>
    <n v="0"/>
    <n v="0"/>
    <n v="2075116"/>
    <x v="50"/>
    <s v="www.fivestarcoupon.com/"/>
    <n v="0"/>
    <n v="0"/>
    <n v="0"/>
    <n v="0"/>
    <n v="0"/>
    <n v="0"/>
    <n v="0"/>
    <n v="0"/>
    <n v="0"/>
    <n v="0"/>
    <n v="0"/>
    <n v="0"/>
    <n v="0"/>
  </r>
  <r>
    <x v="13"/>
    <s v="2292146-Olymp Technologies Inc-honestbrandreviews.com"/>
    <n v="1"/>
    <n v="0"/>
    <n v="0"/>
    <n v="0"/>
    <n v="0"/>
    <n v="0"/>
    <n v="0"/>
    <n v="0"/>
    <n v="0"/>
    <n v="0"/>
    <n v="2292146"/>
    <x v="54"/>
    <s v="honestbrandreviews.com"/>
    <n v="0"/>
    <n v="0"/>
    <n v="0"/>
    <n v="0"/>
    <n v="0"/>
    <n v="0"/>
    <n v="0"/>
    <n v="0"/>
    <n v="0"/>
    <n v="0"/>
    <n v="0"/>
    <n v="0"/>
    <n v="0"/>
  </r>
  <r>
    <x v="13"/>
    <s v="2316883-HigherDOSE LLC-higherdose.com/"/>
    <n v="1"/>
    <n v="0"/>
    <n v="0"/>
    <n v="0"/>
    <n v="0"/>
    <n v="0"/>
    <n v="0"/>
    <n v="0"/>
    <n v="0"/>
    <n v="0"/>
    <n v="2316883"/>
    <x v="58"/>
    <s v="higherdose.com/"/>
    <n v="0"/>
    <n v="0"/>
    <n v="0"/>
    <n v="0"/>
    <n v="0"/>
    <n v="0"/>
    <n v="0"/>
    <n v="0"/>
    <n v="0"/>
    <n v="0"/>
    <n v="0"/>
    <n v="0"/>
    <n v="0"/>
  </r>
  <r>
    <x v="13"/>
    <s v="2334633-Jo Seney-www.facebook.com/Jabars310SalesPage/"/>
    <n v="1"/>
    <n v="0"/>
    <n v="0"/>
    <n v="0"/>
    <n v="0"/>
    <n v="0"/>
    <n v="0"/>
    <n v="0"/>
    <n v="0"/>
    <n v="0"/>
    <n v="2334633"/>
    <x v="64"/>
    <s v="www.facebook.com/Jabars310SalesPage/"/>
    <n v="0"/>
    <n v="0"/>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73" firstHeaderRow="1" firstDataRow="1" firstDataCol="1"/>
  <pivotFields count="29">
    <pivotField numFmtId="14" showAll="0">
      <items count="15">
        <item h="1" x="0"/>
        <item h="1" x="1"/>
        <item h="1" x="2"/>
        <item h="1" x="3"/>
        <item h="1" x="4"/>
        <item h="1" x="5"/>
        <item h="1" x="6"/>
        <item x="11"/>
        <item x="12"/>
        <item x="13"/>
        <item x="7"/>
        <item x="8"/>
        <item x="9"/>
        <item x="10"/>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sortType="descending">
      <items count="87">
        <item x="5"/>
        <item x="23"/>
        <item x="32"/>
        <item x="43"/>
        <item x="44"/>
        <item x="50"/>
        <item x="48"/>
        <item x="33"/>
        <item x="0"/>
        <item x="73"/>
        <item x="31"/>
        <item x="19"/>
        <item x="40"/>
        <item x="41"/>
        <item x="21"/>
        <item x="35"/>
        <item x="60"/>
        <item x="6"/>
        <item x="18"/>
        <item x="82"/>
        <item x="83"/>
        <item x="81"/>
        <item x="62"/>
        <item x="47"/>
        <item x="66"/>
        <item x="58"/>
        <item x="39"/>
        <item x="1"/>
        <item x="59"/>
        <item x="65"/>
        <item x="80"/>
        <item x="64"/>
        <item x="74"/>
        <item x="51"/>
        <item x="78"/>
        <item x="70"/>
        <item x="85"/>
        <item x="53"/>
        <item x="16"/>
        <item x="38"/>
        <item x="26"/>
        <item x="69"/>
        <item x="27"/>
        <item x="57"/>
        <item x="61"/>
        <item x="17"/>
        <item x="63"/>
        <item x="46"/>
        <item x="14"/>
        <item x="29"/>
        <item x="68"/>
        <item x="49"/>
        <item x="54"/>
        <item x="67"/>
        <item x="20"/>
        <item x="2"/>
        <item x="45"/>
        <item x="76"/>
        <item x="13"/>
        <item x="55"/>
        <item x="25"/>
        <item x="7"/>
        <item x="4"/>
        <item x="30"/>
        <item x="75"/>
        <item x="9"/>
        <item x="28"/>
        <item x="22"/>
        <item x="52"/>
        <item x="37"/>
        <item x="84"/>
        <item x="42"/>
        <item x="77"/>
        <item x="10"/>
        <item x="11"/>
        <item x="34"/>
        <item x="8"/>
        <item x="15"/>
        <item x="24"/>
        <item x="56"/>
        <item x="36"/>
        <item x="72"/>
        <item x="12"/>
        <item x="3"/>
        <item x="71"/>
        <item x="7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3"/>
  </rowFields>
  <rowItems count="70">
    <i>
      <x v="17"/>
    </i>
    <i>
      <x v="65"/>
    </i>
    <i>
      <x v="8"/>
    </i>
    <i>
      <x/>
    </i>
    <i>
      <x v="67"/>
    </i>
    <i>
      <x v="27"/>
    </i>
    <i>
      <x v="77"/>
    </i>
    <i>
      <x v="76"/>
    </i>
    <i>
      <x v="23"/>
    </i>
    <i>
      <x v="25"/>
    </i>
    <i>
      <x v="82"/>
    </i>
    <i>
      <x v="58"/>
    </i>
    <i>
      <x v="57"/>
    </i>
    <i>
      <x v="11"/>
    </i>
    <i>
      <x v="55"/>
    </i>
    <i>
      <x v="61"/>
    </i>
    <i>
      <x v="73"/>
    </i>
    <i>
      <x v="83"/>
    </i>
    <i>
      <x v="74"/>
    </i>
    <i>
      <x v="40"/>
    </i>
    <i>
      <x v="64"/>
    </i>
    <i>
      <x v="84"/>
    </i>
    <i>
      <x v="75"/>
    </i>
    <i>
      <x v="22"/>
    </i>
    <i>
      <x v="60"/>
    </i>
    <i>
      <x v="5"/>
    </i>
    <i>
      <x v="70"/>
    </i>
    <i>
      <x v="6"/>
    </i>
    <i>
      <x v="80"/>
    </i>
    <i>
      <x v="7"/>
    </i>
    <i>
      <x v="10"/>
    </i>
    <i>
      <x v="30"/>
    </i>
    <i>
      <x v="62"/>
    </i>
    <i>
      <x v="31"/>
    </i>
    <i>
      <x v="14"/>
    </i>
    <i>
      <x v="32"/>
    </i>
    <i>
      <x v="15"/>
    </i>
    <i>
      <x v="34"/>
    </i>
    <i>
      <x v="18"/>
    </i>
    <i>
      <x v="35"/>
    </i>
    <i>
      <x v="19"/>
    </i>
    <i>
      <x v="36"/>
    </i>
    <i>
      <x v="56"/>
    </i>
    <i>
      <x v="37"/>
    </i>
    <i>
      <x v="2"/>
    </i>
    <i>
      <x v="38"/>
    </i>
    <i>
      <x v="12"/>
    </i>
    <i>
      <x v="85"/>
    </i>
    <i>
      <x v="63"/>
    </i>
    <i>
      <x v="1"/>
    </i>
    <i>
      <x v="13"/>
    </i>
    <i>
      <x v="42"/>
    </i>
    <i>
      <x v="68"/>
    </i>
    <i>
      <x v="43"/>
    </i>
    <i>
      <x v="72"/>
    </i>
    <i>
      <x v="44"/>
    </i>
    <i>
      <x v="16"/>
    </i>
    <i>
      <x v="45"/>
    </i>
    <i>
      <x v="3"/>
    </i>
    <i>
      <x v="47"/>
    </i>
    <i>
      <x v="78"/>
    </i>
    <i>
      <x v="48"/>
    </i>
    <i>
      <x v="81"/>
    </i>
    <i>
      <x v="52"/>
    </i>
    <i>
      <x v="20"/>
    </i>
    <i>
      <x v="53"/>
    </i>
    <i>
      <x v="21"/>
    </i>
    <i>
      <x v="9"/>
    </i>
    <i>
      <x v="41"/>
    </i>
    <i t="grand">
      <x/>
    </i>
  </rowItems>
  <colItems count="1">
    <i/>
  </colItems>
  <dataFields count="1">
    <dataField name="Sum of NumberofSales" fld="6" baseField="0" baseItem="0"/>
  </dataFields>
  <formats count="2">
    <format dxfId="11">
      <pivotArea field="0" type="button" dataOnly="0" labelOnly="1" outline="0"/>
    </format>
    <format dxfId="1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6">
  <location ref="A3:E18" firstHeaderRow="0" firstDataRow="1" firstDataCol="1"/>
  <pivotFields count="29">
    <pivotField axis="axisRow" showAll="0">
      <items count="15">
        <item x="0"/>
        <item x="1"/>
        <item x="2"/>
        <item x="3"/>
        <item x="4"/>
        <item x="5"/>
        <item x="6"/>
        <item x="11"/>
        <item x="12"/>
        <item x="13"/>
        <item x="7"/>
        <item x="8"/>
        <item x="9"/>
        <item x="10"/>
        <item t="default"/>
      </items>
    </pivotField>
    <pivotField showAll="0"/>
    <pivotField dataField="1" showAll="0"/>
    <pivotField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15">
    <i>
      <x/>
    </i>
    <i>
      <x v="1"/>
    </i>
    <i>
      <x v="2"/>
    </i>
    <i>
      <x v="3"/>
    </i>
    <i>
      <x v="4"/>
    </i>
    <i>
      <x v="5"/>
    </i>
    <i>
      <x v="6"/>
    </i>
    <i>
      <x v="7"/>
    </i>
    <i>
      <x v="8"/>
    </i>
    <i>
      <x v="9"/>
    </i>
    <i>
      <x v="10"/>
    </i>
    <i>
      <x v="11"/>
    </i>
    <i>
      <x v="12"/>
    </i>
    <i>
      <x v="13"/>
    </i>
    <i t="grand">
      <x/>
    </i>
  </rowItems>
  <colFields count="1">
    <field x="-2"/>
  </colFields>
  <colItems count="4">
    <i>
      <x/>
    </i>
    <i i="1">
      <x v="1"/>
    </i>
    <i i="2">
      <x v="2"/>
    </i>
    <i i="3">
      <x v="3"/>
    </i>
  </colItems>
  <dataFields count="4">
    <dataField name="Sum of NetSales" fld="5" baseField="0" baseItem="0"/>
    <dataField name="Sum of Clicks" fld="2" baseField="0" baseItem="0"/>
    <dataField name="Sum of NumberofSales" fld="6" baseField="0" baseItem="0"/>
    <dataField name="Sum of Commissions" fld="8" baseField="0" baseItem="0"/>
  </dataFields>
  <formats count="5">
    <format dxfId="9">
      <pivotArea type="all" dataOnly="0" outline="0" fieldPosition="0"/>
    </format>
    <format dxfId="8">
      <pivotArea field="0" type="button" dataOnly="0" labelOnly="1" outline="0" axis="axisRow" fieldPosition="0"/>
    </format>
    <format dxfId="7">
      <pivotArea dataOnly="0" labelOnly="1" grandRow="1" outline="0" fieldPosition="0"/>
    </format>
    <format dxfId="6">
      <pivotArea outline="0" collapsedLevelsAreSubtotals="1" fieldPosition="0"/>
    </format>
    <format dxfId="5">
      <pivotArea dataOnly="0" labelOnly="1" outline="0" fieldPosition="0">
        <references count="1">
          <reference field="4294967294" count="2">
            <x v="0"/>
            <x v="1"/>
          </reference>
        </references>
      </pivotArea>
    </format>
  </formats>
  <chartFormats count="24">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 chart="3" format="3" series="1">
      <pivotArea type="data" outline="0" fieldPosition="0">
        <references count="1">
          <reference field="4294967294" count="1" selected="0">
            <x v="3"/>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5"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1"/>
          </reference>
        </references>
      </pivotArea>
    </chartFormat>
    <chartFormat chart="15" format="2" series="1">
      <pivotArea type="data" outline="0" fieldPosition="0">
        <references count="1">
          <reference field="4294967294" count="1" selected="0">
            <x v="2"/>
          </reference>
        </references>
      </pivotArea>
    </chartFormat>
    <chartFormat chart="15" format="3" series="1">
      <pivotArea type="data" outline="0" fieldPosition="0">
        <references count="1">
          <reference field="4294967294" count="1" selected="0">
            <x v="3"/>
          </reference>
        </references>
      </pivotArea>
    </chartFormat>
    <chartFormat chart="33" format="0"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1"/>
          </reference>
        </references>
      </pivotArea>
    </chartFormat>
    <chartFormat chart="33" format="2" series="1">
      <pivotArea type="data" outline="0" fieldPosition="0">
        <references count="1">
          <reference field="4294967294" count="1" selected="0">
            <x v="2"/>
          </reference>
        </references>
      </pivotArea>
    </chartFormat>
    <chartFormat chart="33" format="3" series="1">
      <pivotArea type="data" outline="0" fieldPosition="0">
        <references count="1">
          <reference field="4294967294" count="1" selected="0">
            <x v="3"/>
          </reference>
        </references>
      </pivotArea>
    </chartFormat>
    <chartFormat chart="55" format="0"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1"/>
          </reference>
        </references>
      </pivotArea>
    </chartFormat>
    <chartFormat chart="55" format="2" series="1">
      <pivotArea type="data" outline="0" fieldPosition="0">
        <references count="1">
          <reference field="4294967294" count="1" selected="0">
            <x v="2"/>
          </reference>
        </references>
      </pivotArea>
    </chartFormat>
    <chartFormat chart="55"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00000000-0013-0000-FFFF-FFFF01000000}" sourceName="Date ">
  <pivotTables>
    <pivotTable tabId="18" name="PivotTable4"/>
  </pivotTables>
  <data>
    <tabular pivotCacheId="890236711" sortOrder="descending">
      <items count="14">
        <i x="10" s="1"/>
        <i x="9" s="1"/>
        <i x="8" s="1"/>
        <i x="7" s="1"/>
        <i x="13" s="1"/>
        <i x="12" s="1"/>
        <i x="11" s="1"/>
        <i x="6"/>
        <i x="5"/>
        <i x="4"/>
        <i x="3"/>
        <i x="2"/>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00000000-0014-0000-FFFF-FFFF01000000}" cache="Slicer_Date1" caption="Date "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092382-B90C-473D-B660-DF514B093A55}" name="Table2" displayName="Table2" ref="A1:C3" totalsRowShown="0" headerRowDxfId="4" dataDxfId="3">
  <autoFilter ref="A1:C3" xr:uid="{00000000-0009-0000-0100-000002000000}"/>
  <sortState xmlns:xlrd2="http://schemas.microsoft.com/office/spreadsheetml/2017/richdata2" ref="A2:C3">
    <sortCondition ref="A2:A3"/>
  </sortState>
  <tableColumns count="3">
    <tableColumn id="1" xr3:uid="{689433DF-9FD1-4AF0-B67E-FF13739F0DA7}" name="start_date" dataDxfId="2"/>
    <tableColumn id="2" xr3:uid="{83CF6E91-CD64-4458-8C22-4B97F46DC60C}" name="end_date" dataDxfId="1"/>
    <tableColumn id="3" xr3:uid="{4A0EB793-18CE-4064-915F-5703BED5E97F}" name="ga_revenue"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topLeftCell="A2" workbookViewId="0">
      <selection activeCell="S19" sqref="S19"/>
    </sheetView>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J21"/>
  <sheetViews>
    <sheetView tabSelected="1" workbookViewId="0">
      <selection activeCell="H22" sqref="H22"/>
    </sheetView>
  </sheetViews>
  <sheetFormatPr defaultRowHeight="14.4" x14ac:dyDescent="0.3"/>
  <cols>
    <col min="1" max="1" width="12.5546875" bestFit="1" customWidth="1"/>
    <col min="2" max="2" width="26.88671875" customWidth="1"/>
    <col min="3" max="3" width="15.33203125" customWidth="1"/>
    <col min="4" max="5" width="20.5546875" bestFit="1" customWidth="1"/>
    <col min="6" max="8" width="18.6640625" bestFit="1" customWidth="1"/>
    <col min="9" max="9" width="10" bestFit="1" customWidth="1"/>
  </cols>
  <sheetData>
    <row r="1" spans="2:10" x14ac:dyDescent="0.3">
      <c r="B1" s="23"/>
      <c r="C1" s="24" t="s">
        <v>302</v>
      </c>
      <c r="D1" s="24" t="s">
        <v>301</v>
      </c>
      <c r="E1" s="23"/>
      <c r="F1" s="23"/>
      <c r="G1" s="23"/>
      <c r="H1" s="23"/>
      <c r="I1" s="23"/>
      <c r="J1" s="23"/>
    </row>
    <row r="2" spans="2:10" x14ac:dyDescent="0.3">
      <c r="B2" s="24" t="s">
        <v>303</v>
      </c>
      <c r="C2" s="25">
        <f>D2-7</f>
        <v>44074</v>
      </c>
      <c r="D2" s="25">
        <f>D3-6</f>
        <v>44081</v>
      </c>
      <c r="E2" s="23"/>
      <c r="F2" s="23"/>
      <c r="G2" s="23"/>
      <c r="H2" s="23"/>
      <c r="I2" s="23"/>
      <c r="J2" s="23"/>
    </row>
    <row r="3" spans="2:10" x14ac:dyDescent="0.3">
      <c r="B3" s="24" t="s">
        <v>304</v>
      </c>
      <c r="C3" s="25">
        <f>D3-7</f>
        <v>44080</v>
      </c>
      <c r="D3" s="26">
        <f>MAX(INDEX(Table1,0,1))</f>
        <v>44087</v>
      </c>
      <c r="E3" s="23"/>
      <c r="F3" s="23"/>
      <c r="G3" s="23"/>
      <c r="H3" s="23"/>
      <c r="I3" s="23"/>
      <c r="J3" s="23"/>
    </row>
    <row r="4" spans="2:10" x14ac:dyDescent="0.3">
      <c r="B4" s="23"/>
      <c r="C4" s="23"/>
      <c r="D4" s="23"/>
      <c r="E4" s="23"/>
      <c r="F4" s="23"/>
      <c r="G4" s="23"/>
      <c r="H4" s="23"/>
      <c r="I4" s="23"/>
      <c r="J4" s="23"/>
    </row>
    <row r="5" spans="2:10" x14ac:dyDescent="0.3">
      <c r="B5" s="23"/>
      <c r="C5" s="24" t="s">
        <v>302</v>
      </c>
      <c r="D5" s="24" t="s">
        <v>301</v>
      </c>
      <c r="E5" s="24" t="s">
        <v>305</v>
      </c>
      <c r="F5" s="23"/>
      <c r="G5" s="23"/>
      <c r="H5" s="27" t="s">
        <v>306</v>
      </c>
      <c r="I5" s="28"/>
      <c r="J5" s="29" t="s">
        <v>305</v>
      </c>
    </row>
    <row r="6" spans="2:10" x14ac:dyDescent="0.3">
      <c r="B6" s="24" t="s">
        <v>307</v>
      </c>
      <c r="C6" s="38" cm="1">
        <f t="array" ref="C6">SUM(IF(Affiliate!$A$2:'Affiliate'!$A$580&gt;=$C$2,IF(Affiliate!$A$2:'Affiliate'!$A$580&lt;=$C$3,Affiliate!$F$2:'Affiliate'!$F$580)))</f>
        <v>10826.89</v>
      </c>
      <c r="D6" s="38" cm="1">
        <f t="array" ref="D6">SUM(IF(Affiliate!$A$2:'Affiliate'!$A$580&gt;=$D$2,IF(Affiliate!$A$2:'Affiliate'!$A$580&lt;=$D$3,Affiliate!$F$2:'Affiliate'!$F$580)))</f>
        <v>11431.469999999998</v>
      </c>
      <c r="E6" s="30">
        <f>IFERROR(((D6-C6)/C6),"")</f>
        <v>5.584059688423898E-2</v>
      </c>
      <c r="F6" s="31"/>
      <c r="G6" s="23"/>
      <c r="H6" s="32" t="s">
        <v>307</v>
      </c>
      <c r="I6" s="33">
        <f>D6</f>
        <v>11431.469999999998</v>
      </c>
      <c r="J6" s="34">
        <f>E6</f>
        <v>5.584059688423898E-2</v>
      </c>
    </row>
    <row r="7" spans="2:10" x14ac:dyDescent="0.3">
      <c r="B7" s="24" t="s">
        <v>2</v>
      </c>
      <c r="C7" s="38" cm="1">
        <f t="array" ref="C7">SUM(IF(Affiliate!$A$2:'Affiliate'!$A$580&gt;=$C$2,IF(Affiliate!$A$2:'Affiliate'!$A$580&lt;=$C$3,Affiliate!$C$2:'Affiliate'!$C$580)))</f>
        <v>3153</v>
      </c>
      <c r="D7" s="38" cm="1">
        <f t="array" ref="D7">SUM(IF(Affiliate!$A$2:'Affiliate'!$A$580&gt;=$D$2,IF(Affiliate!$A$2:'Affiliate'!$A$580&lt;=$D$3,Affiliate!$C$2:'Affiliate'!$C$580)))</f>
        <v>3202</v>
      </c>
      <c r="E7" s="30">
        <f t="shared" ref="E7:E11" si="0">IFERROR(((D7-C7)/C7),"")</f>
        <v>1.5540754836663496E-2</v>
      </c>
      <c r="F7" s="31"/>
      <c r="G7" s="23"/>
      <c r="H7" s="32" t="s">
        <v>2</v>
      </c>
      <c r="I7" s="38">
        <f t="shared" ref="I7:I11" si="1">D7</f>
        <v>3202</v>
      </c>
      <c r="J7" s="34">
        <f t="shared" ref="J7:J11" si="2">E7</f>
        <v>1.5540754836663496E-2</v>
      </c>
    </row>
    <row r="8" spans="2:10" x14ac:dyDescent="0.3">
      <c r="B8" s="24" t="s">
        <v>311</v>
      </c>
      <c r="C8" s="38" cm="1">
        <f t="array" ref="C8">SUM(IF(Affiliate!$A$2:'Affiliate'!$A$580&gt;=$C$2,IF(Affiliate!$A$2:'Affiliate'!$A$580&lt;=$C$3,Affiliate!$G$2:'Affiliate'!$G$580)))</f>
        <v>64</v>
      </c>
      <c r="D8" s="38" cm="1">
        <f t="array" ref="D8">SUM(IF(Affiliate!$A$2:'Affiliate'!$A$580&gt;=$D$2,IF(Affiliate!$A$2:'Affiliate'!$A$580&lt;=$D$3,Affiliate!$G$2:'Affiliate'!$G$580)))</f>
        <v>64</v>
      </c>
      <c r="E8" s="30">
        <f t="shared" si="0"/>
        <v>0</v>
      </c>
      <c r="F8" s="31"/>
      <c r="G8" s="23"/>
      <c r="H8" s="32" t="s">
        <v>308</v>
      </c>
      <c r="I8" s="38">
        <f t="shared" si="1"/>
        <v>64</v>
      </c>
      <c r="J8" s="34">
        <f t="shared" si="2"/>
        <v>0</v>
      </c>
    </row>
    <row r="9" spans="2:10" x14ac:dyDescent="0.3">
      <c r="B9" s="24" t="s">
        <v>297</v>
      </c>
      <c r="C9" s="38" cm="1">
        <f t="array" ref="C9">SUM(IF(Affiliate!$A$2:'Affiliate'!$A$580&gt;=$C$2,IF(Affiliate!$A$2:'Affiliate'!$A$580&lt;=$C$3,Affiliate!$I$2:'Affiliate'!$I$580)))/C8</f>
        <v>12.674687500000001</v>
      </c>
      <c r="D9" s="38" cm="1">
        <f t="array" ref="D9">SUM(IF(Affiliate!$A$2:'Affiliate'!$A$580&gt;=$D$2,IF(Affiliate!$A$2:'Affiliate'!$A$580&lt;=$D$3,Affiliate!$I$2:'Affiliate'!$I$580)))/C8</f>
        <v>14.899375000000003</v>
      </c>
      <c r="E9" s="30">
        <f t="shared" si="0"/>
        <v>0.1755220789467197</v>
      </c>
      <c r="F9" s="31"/>
      <c r="G9" s="23"/>
      <c r="H9" s="32" t="s">
        <v>297</v>
      </c>
      <c r="I9" s="33">
        <f t="shared" si="1"/>
        <v>14.899375000000003</v>
      </c>
      <c r="J9" s="34">
        <f t="shared" si="2"/>
        <v>0.1755220789467197</v>
      </c>
    </row>
    <row r="10" spans="2:10" x14ac:dyDescent="0.3">
      <c r="B10" s="24" t="s">
        <v>309</v>
      </c>
      <c r="C10" s="38">
        <f>C6/7</f>
        <v>1546.6985714285713</v>
      </c>
      <c r="D10" s="38">
        <f>D6/7</f>
        <v>1633.0671428571425</v>
      </c>
      <c r="E10" s="30">
        <f t="shared" si="0"/>
        <v>5.584059688423898E-2</v>
      </c>
      <c r="F10" s="31"/>
      <c r="G10" s="23"/>
      <c r="H10" s="32" t="s">
        <v>309</v>
      </c>
      <c r="I10" s="33">
        <f t="shared" si="1"/>
        <v>1633.0671428571425</v>
      </c>
      <c r="J10" s="34">
        <f t="shared" si="2"/>
        <v>5.584059688423898E-2</v>
      </c>
    </row>
    <row r="11" spans="2:10" x14ac:dyDescent="0.3">
      <c r="B11" s="24" t="s">
        <v>310</v>
      </c>
      <c r="C11" s="42">
        <f>C6/SUMIFS(Table2[[#All],[ga_revenue]],Table2[[#All],[start_date]],Overall_Perf!$C$2,Table2[[#All],[end_date]],Overall_Perf!$C$3)%</f>
        <v>8.0435689950000011</v>
      </c>
      <c r="D11" s="42">
        <f>D6/SUMIFS(Table2[[#All],[ga_revenue]],Table2[[#All],[start_date]],Overall_Perf!$D$2,Table2[[#All],[end_date]],Overall_Perf!$D$3)%</f>
        <v>8.4927266887603583</v>
      </c>
      <c r="E11" s="30">
        <f t="shared" si="0"/>
        <v>5.5840596884238841E-2</v>
      </c>
      <c r="F11" s="31"/>
      <c r="G11" s="23"/>
      <c r="H11" s="32" t="s">
        <v>310</v>
      </c>
      <c r="I11" s="42">
        <f t="shared" si="1"/>
        <v>8.4927266887603583</v>
      </c>
      <c r="J11" s="34">
        <f t="shared" si="2"/>
        <v>5.5840596884238841E-2</v>
      </c>
    </row>
    <row r="13" spans="2:10" x14ac:dyDescent="0.3">
      <c r="C13" s="41"/>
      <c r="D13" s="40"/>
    </row>
    <row r="15" spans="2:10" x14ac:dyDescent="0.3">
      <c r="B15" t="s">
        <v>315</v>
      </c>
      <c r="C15" s="39"/>
      <c r="D15" s="39"/>
    </row>
    <row r="16" spans="2:10" x14ac:dyDescent="0.3">
      <c r="B16" t="s">
        <v>316</v>
      </c>
    </row>
    <row r="17" spans="2:6" x14ac:dyDescent="0.3">
      <c r="B17" t="s">
        <v>317</v>
      </c>
    </row>
    <row r="18" spans="2:6" x14ac:dyDescent="0.3">
      <c r="B18" t="s">
        <v>318</v>
      </c>
      <c r="C18" s="4"/>
    </row>
    <row r="19" spans="2:6" x14ac:dyDescent="0.3">
      <c r="C19" s="39"/>
      <c r="D19" s="39"/>
    </row>
    <row r="21" spans="2:6" x14ac:dyDescent="0.3">
      <c r="F21" t="s">
        <v>299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N22"/>
  <sheetViews>
    <sheetView workbookViewId="0">
      <selection activeCell="B23" sqref="B23"/>
    </sheetView>
  </sheetViews>
  <sheetFormatPr defaultRowHeight="14.4" x14ac:dyDescent="0.3"/>
  <cols>
    <col min="2" max="2" width="27" customWidth="1"/>
    <col min="3" max="3" width="13.109375" bestFit="1" customWidth="1"/>
    <col min="4" max="4" width="12.33203125" bestFit="1" customWidth="1"/>
    <col min="5" max="5" width="11.44140625" bestFit="1" customWidth="1"/>
    <col min="6" max="6" width="10.5546875" bestFit="1" customWidth="1"/>
    <col min="8" max="8" width="11.44140625" bestFit="1" customWidth="1"/>
    <col min="11" max="11" width="11.44140625" bestFit="1" customWidth="1"/>
    <col min="14" max="14" width="11.44140625" bestFit="1" customWidth="1"/>
  </cols>
  <sheetData>
    <row r="1" spans="2:14" x14ac:dyDescent="0.3">
      <c r="C1" s="15" t="s">
        <v>302</v>
      </c>
      <c r="D1" s="15" t="s">
        <v>301</v>
      </c>
    </row>
    <row r="2" spans="2:14" x14ac:dyDescent="0.3">
      <c r="B2" s="15" t="s">
        <v>303</v>
      </c>
      <c r="C2" s="17">
        <f>D2-7</f>
        <v>44074</v>
      </c>
      <c r="D2" s="17">
        <f>D3-6</f>
        <v>44081</v>
      </c>
      <c r="F2" s="1"/>
    </row>
    <row r="3" spans="2:14" x14ac:dyDescent="0.3">
      <c r="B3" s="15" t="s">
        <v>304</v>
      </c>
      <c r="C3" s="17">
        <f>D3-7</f>
        <v>44080</v>
      </c>
      <c r="D3" s="18">
        <f>MAX(INDEX(Table1,0,1))</f>
        <v>44087</v>
      </c>
    </row>
    <row r="4" spans="2:14" ht="15" thickBot="1" x14ac:dyDescent="0.35"/>
    <row r="5" spans="2:14" ht="15" thickBot="1" x14ac:dyDescent="0.35">
      <c r="C5" s="43" t="s">
        <v>294</v>
      </c>
      <c r="D5" s="44"/>
      <c r="E5" s="45"/>
      <c r="F5" s="43" t="s">
        <v>295</v>
      </c>
      <c r="G5" s="44"/>
      <c r="H5" s="45"/>
      <c r="I5" s="43" t="s">
        <v>296</v>
      </c>
      <c r="J5" s="44"/>
      <c r="K5" s="45"/>
      <c r="L5" s="43" t="s">
        <v>297</v>
      </c>
      <c r="M5" s="44"/>
      <c r="N5" s="45"/>
    </row>
    <row r="6" spans="2:14" x14ac:dyDescent="0.3">
      <c r="B6" s="11" t="s">
        <v>291</v>
      </c>
      <c r="C6" s="20" t="s">
        <v>292</v>
      </c>
      <c r="D6" s="21" t="s">
        <v>293</v>
      </c>
      <c r="E6" s="22" t="s">
        <v>298</v>
      </c>
      <c r="F6" s="20" t="s">
        <v>292</v>
      </c>
      <c r="G6" s="21" t="s">
        <v>293</v>
      </c>
      <c r="H6" s="22" t="s">
        <v>298</v>
      </c>
      <c r="I6" s="20" t="s">
        <v>292</v>
      </c>
      <c r="J6" s="21" t="s">
        <v>293</v>
      </c>
      <c r="K6" s="22" t="s">
        <v>298</v>
      </c>
      <c r="L6" s="20" t="s">
        <v>292</v>
      </c>
      <c r="M6" s="21" t="s">
        <v>293</v>
      </c>
      <c r="N6" s="22" t="s">
        <v>298</v>
      </c>
    </row>
    <row r="7" spans="2:14" x14ac:dyDescent="0.3">
      <c r="B7" s="12" t="str">
        <f>Top_Partner!A4</f>
        <v>Demand.io</v>
      </c>
      <c r="C7" s="6" cm="1">
        <f t="array" ref="C7">SUM(IF(Affiliate!$N$2:$N$580=Table!$B7,IF(Affiliate!$A$2:'Affiliate'!$A$580&gt;=$C$2,IF(Affiliate!$A$2:'Affiliate'!$A$580&lt;=$C$3,Affiliate!$F$2:'Affiliate'!$F$580))))</f>
        <v>824.22</v>
      </c>
      <c r="D7" s="5" cm="1">
        <f t="array" ref="D7">SUM(IF(Affiliate!$N$2:$N$580=Table!$B7,IF(Affiliate!$A$2:'Affiliate'!$A$580&gt;=$D$2,IF(Affiliate!$A$2:'Affiliate'!$A$580&lt;=$D$3,Affiliate!$F$2:'Affiliate'!$F$580))))</f>
        <v>1791.2399999999998</v>
      </c>
      <c r="E7" s="7">
        <f>IF(C7&gt;0,((D7-C7)/C7%),"")</f>
        <v>117.32547135473536</v>
      </c>
      <c r="F7" s="6" cm="1">
        <f t="array" ref="F7">SUM(IF(Affiliate!$N$2:$N$580=Table!$B7,IF(Affiliate!$A$2:'Affiliate'!$A$580&gt;=$C$2,IF(Affiliate!$A$2:'Affiliate'!$A$580&lt;=$C$3,Affiliate!$C$2:'Affiliate'!$C$580))))</f>
        <v>78</v>
      </c>
      <c r="G7" s="5" cm="1">
        <f t="array" ref="G7">SUM(IF(Affiliate!$N$2:$N$580=Table!$B7,IF(Affiliate!$A$2:'Affiliate'!$A$580&gt;=$D$2,IF(Affiliate!$A$2:'Affiliate'!$A$580&lt;=$D$3,Affiliate!$C$2:'Affiliate'!$C$580))))</f>
        <v>74</v>
      </c>
      <c r="H7" s="7">
        <f>IF(F7&gt;0,((G7-F7)/F7%),"")</f>
        <v>-5.1282051282051277</v>
      </c>
      <c r="I7" s="6" cm="1">
        <f t="array" ref="I7">SUM(IF(Affiliate!$N$2:$N$580=Table!$B7,IF(Affiliate!$A$2:'Affiliate'!$A$580&gt;=$C$2,IF(Affiliate!$A$2:'Affiliate'!$A$580&lt;=$C$3,Affiliate!$I$2:'Affiliate'!$I$580))))</f>
        <v>24.72</v>
      </c>
      <c r="J7" s="5" cm="1">
        <f t="array" ref="J7">SUM(IF(Affiliate!$N$2:$N$580=Table!$B7,IF(Affiliate!$A$2:'Affiliate'!$A$580&gt;=$D$2,IF(Affiliate!$A$2:'Affiliate'!$A$580&lt;=$D$3,Affiliate!$I$2:'Affiliate'!$I$580))))</f>
        <v>53.72</v>
      </c>
      <c r="K7" s="7">
        <f>IF(I7&gt;0,((J7-I7)/I7%),"")</f>
        <v>117.3139158576052</v>
      </c>
      <c r="L7" s="6" cm="1">
        <f t="array" ref="L7">IF($I7&gt;0,$I7/SUM(IF(Affiliate!$N$2:$N$580=Table!$B7,IF(Affiliate!$A$2:'Affiliate'!$A$580&gt;=$C$2,IF(Affiliate!$A$2:'Affiliate'!$A$580&lt;=$C$3,Affiliate!$G$2:'Affiliate'!$G$580)))),"")</f>
        <v>4.944</v>
      </c>
      <c r="M7" s="5" cm="1">
        <f t="array" ref="M7">IF($J7&gt;0,$J7/SUM(IF(Affiliate!$N$2:$N$580=Table!$B7,IF(Affiliate!$A$2:'Affiliate'!$A$580&gt;=$D$2,IF(Affiliate!$A$2:'Affiliate'!$A$580&lt;=$D$3,Affiliate!$G$2:'Affiliate'!$G$580)))),"")</f>
        <v>4.8836363636363638</v>
      </c>
      <c r="N7" s="7">
        <f>IFERROR(((M7-L7)/L7%),"")</f>
        <v>-1.220947337452188</v>
      </c>
    </row>
    <row r="8" spans="2:14" x14ac:dyDescent="0.3">
      <c r="B8" s="12" t="str">
        <f>Top_Partner!A5</f>
        <v>Skimbit Ltd</v>
      </c>
      <c r="C8" s="6" cm="1">
        <f t="array" ref="C8">SUM(IF(Affiliate!$N$2:$N$580=Table!$B8,IF(Affiliate!$A$2:'Affiliate'!$A$580&gt;=$C$2,IF(Affiliate!$A$2:'Affiliate'!$A$580&lt;=$C$3,Affiliate!$F$2:'Affiliate'!$F$580))))</f>
        <v>1967.8</v>
      </c>
      <c r="D8" s="5" cm="1">
        <f t="array" ref="D8">SUM(IF(Affiliate!$N$2:$N$580=Table!$B8,IF(Affiliate!$A$2:'Affiliate'!$A$580&gt;=$D$2,IF(Affiliate!$A$2:'Affiliate'!$A$580&lt;=$D$3,Affiliate!$F$2:'Affiliate'!$F$580))))</f>
        <v>1880.57</v>
      </c>
      <c r="E8" s="7">
        <f t="shared" ref="E8:E16" si="0">IF(C8&gt;0,((D8-C8)/C8%),"")</f>
        <v>-4.4328691940237839</v>
      </c>
      <c r="F8" s="6" cm="1">
        <f t="array" ref="F8">SUM(IF(Affiliate!$N$2:$N$580=Table!$B8,IF(Affiliate!$A$2:'Affiliate'!$A$580&gt;=$C$2,IF(Affiliate!$A$2:'Affiliate'!$A$580&lt;=$C$3,Affiliate!$C$2:'Affiliate'!$C$580))))</f>
        <v>775</v>
      </c>
      <c r="G8" s="5" cm="1">
        <f t="array" ref="G8">SUM(IF(Affiliate!$N$2:$N$580=Table!$B8,IF(Affiliate!$A$2:'Affiliate'!$A$580&gt;=$D$2,IF(Affiliate!$A$2:'Affiliate'!$A$580&lt;=$D$3,Affiliate!$C$2:'Affiliate'!$C$580))))</f>
        <v>789</v>
      </c>
      <c r="H8" s="7">
        <f t="shared" ref="H8:H16" si="1">IF(F8&gt;0,((G8-F8)/F8%),"")</f>
        <v>1.8064516129032258</v>
      </c>
      <c r="I8" s="6" cm="1">
        <f t="array" ref="I8">SUM(IF(Affiliate!$N$2:$N$580=Table!$B8,IF(Affiliate!$A$2:'Affiliate'!$A$580&gt;=$C$2,IF(Affiliate!$A$2:'Affiliate'!$A$580&lt;=$C$3,Affiliate!$I$2:'Affiliate'!$I$580))))</f>
        <v>295.18</v>
      </c>
      <c r="J8" s="5" cm="1">
        <f t="array" ref="J8">SUM(IF(Affiliate!$N$2:$N$580=Table!$B8,IF(Affiliate!$A$2:'Affiliate'!$A$580&gt;=$D$2,IF(Affiliate!$A$2:'Affiliate'!$A$580&lt;=$D$3,Affiliate!$I$2:'Affiliate'!$I$580))))</f>
        <v>282.08999999999997</v>
      </c>
      <c r="K8" s="7">
        <f t="shared" ref="K8:K16" si="2">IF(I8&gt;0,((J8-I8)/I8%),"")</f>
        <v>-4.4345822887729627</v>
      </c>
      <c r="L8" s="6" cm="1">
        <f t="array" ref="L8">IF($I8&gt;0,$I8/SUM(IF(Affiliate!$N$2:$N$580=Table!$B8,IF(Affiliate!$A$2:'Affiliate'!$A$580&gt;=$C$2,IF(Affiliate!$A$2:'Affiliate'!$A$580&lt;=$C$3,Affiliate!$G$2:'Affiliate'!$G$580)))),"")</f>
        <v>24.598333333333333</v>
      </c>
      <c r="M8" s="5" cm="1">
        <f t="array" ref="M8">IF($J8&gt;0,$J8/SUM(IF(Affiliate!$N$2:$N$580=Table!$B8,IF(Affiliate!$A$2:'Affiliate'!$A$580&gt;=$D$2,IF(Affiliate!$A$2:'Affiliate'!$A$580&lt;=$D$3,Affiliate!$G$2:'Affiliate'!$G$580)))),"")</f>
        <v>31.34333333333333</v>
      </c>
      <c r="N8" s="7">
        <f t="shared" ref="N8:N16" si="3">IFERROR(((M8-L8)/L8%),"")</f>
        <v>27.420556948302721</v>
      </c>
    </row>
    <row r="9" spans="2:14" x14ac:dyDescent="0.3">
      <c r="B9" s="12" t="str">
        <f>Top_Partner!A6</f>
        <v>Business Insider, Inc.</v>
      </c>
      <c r="C9" s="6" cm="1">
        <f t="array" ref="C9">SUM(IF(Affiliate!$N$2:$N$580=Table!$B9,IF(Affiliate!$A$2:'Affiliate'!$A$580&gt;=$C$2,IF(Affiliate!$A$2:'Affiliate'!$A$580&lt;=$C$3,Affiliate!$F$2:'Affiliate'!$F$580))))</f>
        <v>328.3</v>
      </c>
      <c r="D9" s="5" cm="1">
        <f t="array" ref="D9">SUM(IF(Affiliate!$N$2:$N$580=Table!$B9,IF(Affiliate!$A$2:'Affiliate'!$A$580&gt;=$D$2,IF(Affiliate!$A$2:'Affiliate'!$A$580&lt;=$D$3,Affiliate!$F$2:'Affiliate'!$F$580))))</f>
        <v>1000.53</v>
      </c>
      <c r="E9" s="7">
        <f t="shared" si="0"/>
        <v>204.76088943039903</v>
      </c>
      <c r="F9" s="6" cm="1">
        <f t="array" ref="F9">SUM(IF(Affiliate!$N$2:$N$580=Table!$B9,IF(Affiliate!$A$2:'Affiliate'!$A$580&gt;=$C$2,IF(Affiliate!$A$2:'Affiliate'!$A$580&lt;=$C$3,Affiliate!$C$2:'Affiliate'!$C$580))))</f>
        <v>363</v>
      </c>
      <c r="G9" s="5" cm="1">
        <f t="array" ref="G9">SUM(IF(Affiliate!$N$2:$N$580=Table!$B9,IF(Affiliate!$A$2:'Affiliate'!$A$580&gt;=$D$2,IF(Affiliate!$A$2:'Affiliate'!$A$580&lt;=$D$3,Affiliate!$C$2:'Affiliate'!$C$580))))</f>
        <v>370</v>
      </c>
      <c r="H9" s="7">
        <f t="shared" si="1"/>
        <v>1.9283746556473831</v>
      </c>
      <c r="I9" s="6" cm="1">
        <f t="array" ref="I9">SUM(IF(Affiliate!$N$2:$N$580=Table!$B9,IF(Affiliate!$A$2:'Affiliate'!$A$580&gt;=$C$2,IF(Affiliate!$A$2:'Affiliate'!$A$580&lt;=$C$3,Affiliate!$I$2:'Affiliate'!$I$580))))</f>
        <v>65.66</v>
      </c>
      <c r="J9" s="5" cm="1">
        <f t="array" ref="J9">SUM(IF(Affiliate!$N$2:$N$580=Table!$B9,IF(Affiliate!$A$2:'Affiliate'!$A$580&gt;=$D$2,IF(Affiliate!$A$2:'Affiliate'!$A$580&lt;=$D$3,Affiliate!$I$2:'Affiliate'!$I$580))))</f>
        <v>200.1</v>
      </c>
      <c r="K9" s="7">
        <f t="shared" si="2"/>
        <v>204.75175144684741</v>
      </c>
      <c r="L9" s="6" cm="1">
        <f t="array" ref="L9">IF($I9&gt;0,$I9/SUM(IF(Affiliate!$N$2:$N$580=Table!$B9,IF(Affiliate!$A$2:'Affiliate'!$A$580&gt;=$C$2,IF(Affiliate!$A$2:'Affiliate'!$A$580&lt;=$C$3,Affiliate!$G$2:'Affiliate'!$G$580)))),"")</f>
        <v>32.83</v>
      </c>
      <c r="M9" s="5" cm="1">
        <f t="array" ref="M9">IF($J9&gt;0,$J9/SUM(IF(Affiliate!$N$2:$N$580=Table!$B9,IF(Affiliate!$A$2:'Affiliate'!$A$580&gt;=$D$2,IF(Affiliate!$A$2:'Affiliate'!$A$580&lt;=$D$3,Affiliate!$G$2:'Affiliate'!$G$580)))),"")</f>
        <v>33.35</v>
      </c>
      <c r="N9" s="7">
        <f t="shared" si="3"/>
        <v>1.5839171489491415</v>
      </c>
    </row>
    <row r="10" spans="2:14" x14ac:dyDescent="0.3">
      <c r="B10" s="12" t="str">
        <f>Top_Partner!A7</f>
        <v>12 Interactive LLC</v>
      </c>
      <c r="C10" s="6" cm="1">
        <f t="array" ref="C10">SUM(IF(Affiliate!$N$2:$N$580=Table!$B10,IF(Affiliate!$A$2:'Affiliate'!$A$580&gt;=$C$2,IF(Affiliate!$A$2:'Affiliate'!$A$580&lt;=$C$3,Affiliate!$F$2:'Affiliate'!$F$580))))</f>
        <v>520.72</v>
      </c>
      <c r="D10" s="5" cm="1">
        <f t="array" ref="D10">SUM(IF(Affiliate!$N$2:$N$580=Table!$B10,IF(Affiliate!$A$2:'Affiliate'!$A$580&gt;=$D$2,IF(Affiliate!$A$2:'Affiliate'!$A$580&lt;=$D$3,Affiliate!$F$2:'Affiliate'!$F$580))))</f>
        <v>838.33999999999992</v>
      </c>
      <c r="E10" s="7">
        <f t="shared" si="0"/>
        <v>60.99631279766475</v>
      </c>
      <c r="F10" s="6" cm="1">
        <f t="array" ref="F10">SUM(IF(Affiliate!$N$2:$N$580=Table!$B10,IF(Affiliate!$A$2:'Affiliate'!$A$580&gt;=$C$2,IF(Affiliate!$A$2:'Affiliate'!$A$580&lt;=$C$3,Affiliate!$C$2:'Affiliate'!$C$580))))</f>
        <v>147</v>
      </c>
      <c r="G10" s="5" cm="1">
        <f t="array" ref="G10">SUM(IF(Affiliate!$N$2:$N$580=Table!$B10,IF(Affiliate!$A$2:'Affiliate'!$A$580&gt;=$D$2,IF(Affiliate!$A$2:'Affiliate'!$A$580&lt;=$D$3,Affiliate!$C$2:'Affiliate'!$C$580))))</f>
        <v>150</v>
      </c>
      <c r="H10" s="7">
        <f t="shared" si="1"/>
        <v>2.0408163265306123</v>
      </c>
      <c r="I10" s="6" cm="1">
        <f t="array" ref="I10">SUM(IF(Affiliate!$N$2:$N$580=Table!$B10,IF(Affiliate!$A$2:'Affiliate'!$A$580&gt;=$C$2,IF(Affiliate!$A$2:'Affiliate'!$A$580&lt;=$C$3,Affiliate!$I$2:'Affiliate'!$I$580))))</f>
        <v>15.620000000000001</v>
      </c>
      <c r="J10" s="5" cm="1">
        <f t="array" ref="J10">SUM(IF(Affiliate!$N$2:$N$580=Table!$B10,IF(Affiliate!$A$2:'Affiliate'!$A$580&gt;=$D$2,IF(Affiliate!$A$2:'Affiliate'!$A$580&lt;=$D$3,Affiliate!$I$2:'Affiliate'!$I$580))))</f>
        <v>25.15</v>
      </c>
      <c r="K10" s="7">
        <f t="shared" si="2"/>
        <v>61.011523687580009</v>
      </c>
      <c r="L10" s="6" cm="1">
        <f t="array" ref="L10">IF($I10&gt;0,$I10/SUM(IF(Affiliate!$N$2:$N$580=Table!$B10,IF(Affiliate!$A$2:'Affiliate'!$A$580&gt;=$C$2,IF(Affiliate!$A$2:'Affiliate'!$A$580&lt;=$C$3,Affiliate!$G$2:'Affiliate'!$G$580)))),"")</f>
        <v>7.8100000000000005</v>
      </c>
      <c r="M10" s="5" cm="1">
        <f t="array" ref="M10">IF($J10&gt;0,$J10/SUM(IF(Affiliate!$N$2:$N$580=Table!$B10,IF(Affiliate!$A$2:'Affiliate'!$A$580&gt;=$D$2,IF(Affiliate!$A$2:'Affiliate'!$A$580&lt;=$D$3,Affiliate!$G$2:'Affiliate'!$G$580)))),"")</f>
        <v>5.0299999999999994</v>
      </c>
      <c r="N10" s="7">
        <f t="shared" si="3"/>
        <v>-35.595390524968003</v>
      </c>
    </row>
    <row r="11" spans="2:14" x14ac:dyDescent="0.3">
      <c r="B11" s="12" t="str">
        <f>Top_Partner!A8</f>
        <v>SurfMyAds.com</v>
      </c>
      <c r="C11" s="6" cm="1">
        <f t="array" ref="C11">SUM(IF(Affiliate!$N$2:$N$580=Table!$B11,IF(Affiliate!$A$2:'Affiliate'!$A$580&gt;=$C$2,IF(Affiliate!$A$2:'Affiliate'!$A$580&lt;=$C$3,Affiliate!$F$2:'Affiliate'!$F$580))))</f>
        <v>199.2</v>
      </c>
      <c r="D11" s="5" cm="1">
        <f t="array" ref="D11">SUM(IF(Affiliate!$N$2:$N$580=Table!$B11,IF(Affiliate!$A$2:'Affiliate'!$A$580&gt;=$D$2,IF(Affiliate!$A$2:'Affiliate'!$A$580&lt;=$D$3,Affiliate!$F$2:'Affiliate'!$F$580))))</f>
        <v>769.58</v>
      </c>
      <c r="E11" s="7">
        <f t="shared" si="0"/>
        <v>286.33534136546189</v>
      </c>
      <c r="F11" s="6" cm="1">
        <f t="array" ref="F11">SUM(IF(Affiliate!$N$2:$N$580=Table!$B11,IF(Affiliate!$A$2:'Affiliate'!$A$580&gt;=$C$2,IF(Affiliate!$A$2:'Affiliate'!$A$580&lt;=$C$3,Affiliate!$C$2:'Affiliate'!$C$580))))</f>
        <v>13</v>
      </c>
      <c r="G11" s="5" cm="1">
        <f t="array" ref="G11">SUM(IF(Affiliate!$N$2:$N$580=Table!$B11,IF(Affiliate!$A$2:'Affiliate'!$A$580&gt;=$D$2,IF(Affiliate!$A$2:'Affiliate'!$A$580&lt;=$D$3,Affiliate!$C$2:'Affiliate'!$C$580))))</f>
        <v>15</v>
      </c>
      <c r="H11" s="7">
        <f t="shared" si="1"/>
        <v>15.384615384615383</v>
      </c>
      <c r="I11" s="6" cm="1">
        <f t="array" ref="I11">SUM(IF(Affiliate!$N$2:$N$580=Table!$B11,IF(Affiliate!$A$2:'Affiliate'!$A$580&gt;=$C$2,IF(Affiliate!$A$2:'Affiliate'!$A$580&lt;=$C$3,Affiliate!$I$2:'Affiliate'!$I$580))))</f>
        <v>5.98</v>
      </c>
      <c r="J11" s="5" cm="1">
        <f t="array" ref="J11">SUM(IF(Affiliate!$N$2:$N$580=Table!$B11,IF(Affiliate!$A$2:'Affiliate'!$A$580&gt;=$D$2,IF(Affiliate!$A$2:'Affiliate'!$A$580&lt;=$D$3,Affiliate!$I$2:'Affiliate'!$I$580))))</f>
        <v>23.090000000000003</v>
      </c>
      <c r="K11" s="7">
        <f t="shared" si="2"/>
        <v>286.12040133779266</v>
      </c>
      <c r="L11" s="6" cm="1">
        <f t="array" ref="L11">IF($I11&gt;0,$I11/SUM(IF(Affiliate!$N$2:$N$580=Table!$B11,IF(Affiliate!$A$2:'Affiliate'!$A$580&gt;=$C$2,IF(Affiliate!$A$2:'Affiliate'!$A$580&lt;=$C$3,Affiliate!$G$2:'Affiliate'!$G$580)))),"")</f>
        <v>5.98</v>
      </c>
      <c r="M11" s="5" cm="1">
        <f t="array" ref="M11">IF($J11&gt;0,$J11/SUM(IF(Affiliate!$N$2:$N$580=Table!$B11,IF(Affiliate!$A$2:'Affiliate'!$A$580&gt;=$D$2,IF(Affiliate!$A$2:'Affiliate'!$A$580&lt;=$D$3,Affiliate!$G$2:'Affiliate'!$G$580)))),"")</f>
        <v>5.7725000000000009</v>
      </c>
      <c r="N11" s="7">
        <f t="shared" si="3"/>
        <v>-3.4698996655518322</v>
      </c>
    </row>
    <row r="12" spans="2:14" x14ac:dyDescent="0.3">
      <c r="B12" s="12" t="str">
        <f>Top_Partner!A9</f>
        <v>ID.me, Inc.</v>
      </c>
      <c r="C12" s="6" cm="1">
        <f t="array" ref="C12">SUM(IF(Affiliate!$N$2:$N$580=Table!$B12,IF(Affiliate!$A$2:'Affiliate'!$A$580&gt;=$C$2,IF(Affiliate!$A$2:'Affiliate'!$A$580&lt;=$C$3,Affiliate!$F$2:'Affiliate'!$F$580))))</f>
        <v>1391.1200000000001</v>
      </c>
      <c r="D12" s="5" cm="1">
        <f t="array" ref="D12">SUM(IF(Affiliate!$N$2:$N$580=Table!$B12,IF(Affiliate!$A$2:'Affiliate'!$A$580&gt;=$D$2,IF(Affiliate!$A$2:'Affiliate'!$A$580&lt;=$D$3,Affiliate!$F$2:'Affiliate'!$F$580))))</f>
        <v>447.72</v>
      </c>
      <c r="E12" s="7">
        <f t="shared" si="0"/>
        <v>-67.815860601529707</v>
      </c>
      <c r="F12" s="6" cm="1">
        <f t="array" ref="F12">SUM(IF(Affiliate!$N$2:$N$580=Table!$B12,IF(Affiliate!$A$2:'Affiliate'!$A$580&gt;=$C$2,IF(Affiliate!$A$2:'Affiliate'!$A$580&lt;=$C$3,Affiliate!$C$2:'Affiliate'!$C$580))))</f>
        <v>377</v>
      </c>
      <c r="G12" s="5" cm="1">
        <f t="array" ref="G12">SUM(IF(Affiliate!$N$2:$N$580=Table!$B12,IF(Affiliate!$A$2:'Affiliate'!$A$580&gt;=$D$2,IF(Affiliate!$A$2:'Affiliate'!$A$580&lt;=$D$3,Affiliate!$C$2:'Affiliate'!$C$580))))</f>
        <v>372</v>
      </c>
      <c r="H12" s="7">
        <f t="shared" si="1"/>
        <v>-1.3262599469496021</v>
      </c>
      <c r="I12" s="6" cm="1">
        <f t="array" ref="I12">SUM(IF(Affiliate!$N$2:$N$580=Table!$B12,IF(Affiliate!$A$2:'Affiliate'!$A$580&gt;=$C$2,IF(Affiliate!$A$2:'Affiliate'!$A$580&lt;=$C$3,Affiliate!$I$2:'Affiliate'!$I$580))))</f>
        <v>41.75</v>
      </c>
      <c r="J12" s="5" cm="1">
        <f t="array" ref="J12">SUM(IF(Affiliate!$N$2:$N$580=Table!$B12,IF(Affiliate!$A$2:'Affiliate'!$A$580&gt;=$D$2,IF(Affiliate!$A$2:'Affiliate'!$A$580&lt;=$D$3,Affiliate!$I$2:'Affiliate'!$I$580))))</f>
        <v>13.430000000000001</v>
      </c>
      <c r="K12" s="7">
        <f t="shared" si="2"/>
        <v>-67.832335329341319</v>
      </c>
      <c r="L12" s="6" cm="1">
        <f t="array" ref="L12">IF($I12&gt;0,$I12/SUM(IF(Affiliate!$N$2:$N$580=Table!$B12,IF(Affiliate!$A$2:'Affiliate'!$A$580&gt;=$C$2,IF(Affiliate!$A$2:'Affiliate'!$A$580&lt;=$C$3,Affiliate!$G$2:'Affiliate'!$G$580)))),"")</f>
        <v>5.21875</v>
      </c>
      <c r="M12" s="5" cm="1">
        <f t="array" ref="M12">IF($J12&gt;0,$J12/SUM(IF(Affiliate!$N$2:$N$580=Table!$B12,IF(Affiliate!$A$2:'Affiliate'!$A$580&gt;=$D$2,IF(Affiliate!$A$2:'Affiliate'!$A$580&lt;=$D$3,Affiliate!$G$2:'Affiliate'!$G$580)))),"")</f>
        <v>3.3575000000000004</v>
      </c>
      <c r="N12" s="7">
        <f t="shared" si="3"/>
        <v>-35.664670658682631</v>
      </c>
    </row>
    <row r="13" spans="2:14" x14ac:dyDescent="0.3">
      <c r="B13" s="12" t="str">
        <f>Top_Partner!A10</f>
        <v>VigLink, Inc.</v>
      </c>
      <c r="C13" s="6" cm="1">
        <f t="array" ref="C13">SUM(IF(Affiliate!$N$2:$N$580=Table!$B13,IF(Affiliate!$A$2:'Affiliate'!$A$580&gt;=$C$2,IF(Affiliate!$A$2:'Affiliate'!$A$580&lt;=$C$3,Affiliate!$F$2:'Affiliate'!$F$580))))</f>
        <v>329.45</v>
      </c>
      <c r="D13" s="5" cm="1">
        <f t="array" ref="D13">SUM(IF(Affiliate!$N$2:$N$580=Table!$B13,IF(Affiliate!$A$2:'Affiliate'!$A$580&gt;=$D$2,IF(Affiliate!$A$2:'Affiliate'!$A$580&lt;=$D$3,Affiliate!$F$2:'Affiliate'!$F$580))))</f>
        <v>422.76</v>
      </c>
      <c r="E13" s="7">
        <f t="shared" si="0"/>
        <v>28.322962513279712</v>
      </c>
      <c r="F13" s="6" cm="1">
        <f t="array" ref="F13">SUM(IF(Affiliate!$N$2:$N$580=Table!$B13,IF(Affiliate!$A$2:'Affiliate'!$A$580&gt;=$C$2,IF(Affiliate!$A$2:'Affiliate'!$A$580&lt;=$C$3,Affiliate!$C$2:'Affiliate'!$C$580))))</f>
        <v>151</v>
      </c>
      <c r="G13" s="5" cm="1">
        <f t="array" ref="G13">SUM(IF(Affiliate!$N$2:$N$580=Table!$B13,IF(Affiliate!$A$2:'Affiliate'!$A$580&gt;=$D$2,IF(Affiliate!$A$2:'Affiliate'!$A$580&lt;=$D$3,Affiliate!$C$2:'Affiliate'!$C$580))))</f>
        <v>143</v>
      </c>
      <c r="H13" s="7">
        <f t="shared" si="1"/>
        <v>-5.298013245033113</v>
      </c>
      <c r="I13" s="6" cm="1">
        <f t="array" ref="I13">SUM(IF(Affiliate!$N$2:$N$580=Table!$B13,IF(Affiliate!$A$2:'Affiliate'!$A$580&gt;=$C$2,IF(Affiliate!$A$2:'Affiliate'!$A$580&lt;=$C$3,Affiliate!$I$2:'Affiliate'!$I$580))))</f>
        <v>9.89</v>
      </c>
      <c r="J13" s="5" cm="1">
        <f t="array" ref="J13">SUM(IF(Affiliate!$N$2:$N$580=Table!$B13,IF(Affiliate!$A$2:'Affiliate'!$A$580&gt;=$D$2,IF(Affiliate!$A$2:'Affiliate'!$A$580&lt;=$D$3,Affiliate!$I$2:'Affiliate'!$I$580))))</f>
        <v>12.68</v>
      </c>
      <c r="K13" s="7">
        <f t="shared" si="2"/>
        <v>28.210313447927192</v>
      </c>
      <c r="L13" s="6" cm="1">
        <f t="array" ref="L13">IF($I13&gt;0,$I13/SUM(IF(Affiliate!$N$2:$N$580=Table!$B13,IF(Affiliate!$A$2:'Affiliate'!$A$580&gt;=$C$2,IF(Affiliate!$A$2:'Affiliate'!$A$580&lt;=$C$3,Affiliate!$G$2:'Affiliate'!$G$580)))),"")</f>
        <v>4.9450000000000003</v>
      </c>
      <c r="M13" s="5" cm="1">
        <f t="array" ref="M13">IF($J13&gt;0,$J13/SUM(IF(Affiliate!$N$2:$N$580=Table!$B13,IF(Affiliate!$A$2:'Affiliate'!$A$580&gt;=$D$2,IF(Affiliate!$A$2:'Affiliate'!$A$580&lt;=$D$3,Affiliate!$G$2:'Affiliate'!$G$580)))),"")</f>
        <v>4.2266666666666666</v>
      </c>
      <c r="N13" s="7">
        <f t="shared" si="3"/>
        <v>-14.526457701381874</v>
      </c>
    </row>
    <row r="14" spans="2:14" x14ac:dyDescent="0.3">
      <c r="B14" s="12" t="str">
        <f>Top_Partner!A11</f>
        <v>Vertive, LLC (Offers.com, LLC.)</v>
      </c>
      <c r="C14" s="6" cm="1">
        <f t="array" ref="C14">SUM(IF(Affiliate!$N$2:$N$580=Table!$B14,IF(Affiliate!$A$2:'Affiliate'!$A$580&gt;=$C$2,IF(Affiliate!$A$2:'Affiliate'!$A$580&lt;=$C$3,Affiliate!$F$2:'Affiliate'!$F$580))))</f>
        <v>1051.7</v>
      </c>
      <c r="D14" s="5" cm="1">
        <f t="array" ref="D14">SUM(IF(Affiliate!$N$2:$N$580=Table!$B14,IF(Affiliate!$A$2:'Affiliate'!$A$580&gt;=$D$2,IF(Affiliate!$A$2:'Affiliate'!$A$580&lt;=$D$3,Affiliate!$F$2:'Affiliate'!$F$580))))</f>
        <v>636.79999999999995</v>
      </c>
      <c r="E14" s="7">
        <f t="shared" si="0"/>
        <v>-39.450413616050206</v>
      </c>
      <c r="F14" s="6" cm="1">
        <f t="array" ref="F14">SUM(IF(Affiliate!$N$2:$N$580=Table!$B14,IF(Affiliate!$A$2:'Affiliate'!$A$580&gt;=$C$2,IF(Affiliate!$A$2:'Affiliate'!$A$580&lt;=$C$3,Affiliate!$C$2:'Affiliate'!$C$580))))</f>
        <v>22</v>
      </c>
      <c r="G14" s="5" cm="1">
        <f t="array" ref="G14">SUM(IF(Affiliate!$N$2:$N$580=Table!$B14,IF(Affiliate!$A$2:'Affiliate'!$A$580&gt;=$D$2,IF(Affiliate!$A$2:'Affiliate'!$A$580&lt;=$D$3,Affiliate!$C$2:'Affiliate'!$C$580))))</f>
        <v>20</v>
      </c>
      <c r="H14" s="7">
        <f t="shared" si="1"/>
        <v>-9.0909090909090917</v>
      </c>
      <c r="I14" s="6" cm="1">
        <f t="array" ref="I14">SUM(IF(Affiliate!$N$2:$N$580=Table!$B14,IF(Affiliate!$A$2:'Affiliate'!$A$580&gt;=$C$2,IF(Affiliate!$A$2:'Affiliate'!$A$580&lt;=$C$3,Affiliate!$I$2:'Affiliate'!$I$580))))</f>
        <v>31.549999999999997</v>
      </c>
      <c r="J14" s="5" cm="1">
        <f t="array" ref="J14">SUM(IF(Affiliate!$N$2:$N$580=Table!$B14,IF(Affiliate!$A$2:'Affiliate'!$A$580&gt;=$D$2,IF(Affiliate!$A$2:'Affiliate'!$A$580&lt;=$D$3,Affiliate!$I$2:'Affiliate'!$I$580))))</f>
        <v>19.11</v>
      </c>
      <c r="K14" s="7">
        <f t="shared" si="2"/>
        <v>-39.429477020602221</v>
      </c>
      <c r="L14" s="6" cm="1">
        <f t="array" ref="L14">IF($I14&gt;0,$I14/SUM(IF(Affiliate!$N$2:$N$580=Table!$B14,IF(Affiliate!$A$2:'Affiliate'!$A$580&gt;=$C$2,IF(Affiliate!$A$2:'Affiliate'!$A$580&lt;=$C$3,Affiliate!$G$2:'Affiliate'!$G$580)))),"")</f>
        <v>3.9437499999999996</v>
      </c>
      <c r="M14" s="5" cm="1">
        <f t="array" ref="M14">IF($J14&gt;0,$J14/SUM(IF(Affiliate!$N$2:$N$580=Table!$B14,IF(Affiliate!$A$2:'Affiliate'!$A$580&gt;=$D$2,IF(Affiliate!$A$2:'Affiliate'!$A$580&lt;=$D$3,Affiliate!$G$2:'Affiliate'!$G$580)))),"")</f>
        <v>6.37</v>
      </c>
      <c r="N14" s="7">
        <f t="shared" si="3"/>
        <v>61.521394611727438</v>
      </c>
    </row>
    <row r="15" spans="2:14" x14ac:dyDescent="0.3">
      <c r="B15" s="12" t="str">
        <f>Top_Partner!A12</f>
        <v>GSG North America LLC</v>
      </c>
      <c r="C15" s="6" cm="1">
        <f t="array" ref="C15">SUM(IF(Affiliate!$N$2:$N$580=Table!$B15,IF(Affiliate!$A$2:'Affiliate'!$A$580&gt;=$C$2,IF(Affiliate!$A$2:'Affiliate'!$A$580&lt;=$C$3,Affiliate!$F$2:'Affiliate'!$F$580))))</f>
        <v>0</v>
      </c>
      <c r="D15" s="5" cm="1">
        <f t="array" ref="D15">SUM(IF(Affiliate!$N$2:$N$580=Table!$B15,IF(Affiliate!$A$2:'Affiliate'!$A$580&gt;=$D$2,IF(Affiliate!$A$2:'Affiliate'!$A$580&lt;=$D$3,Affiliate!$F$2:'Affiliate'!$F$580))))</f>
        <v>664.88</v>
      </c>
      <c r="E15" s="7" t="str">
        <f t="shared" si="0"/>
        <v/>
      </c>
      <c r="F15" s="6" cm="1">
        <f t="array" ref="F15">SUM(IF(Affiliate!$N$2:$N$580=Table!$B15,IF(Affiliate!$A$2:'Affiliate'!$A$580&gt;=$C$2,IF(Affiliate!$A$2:'Affiliate'!$A$580&lt;=$C$3,Affiliate!$C$2:'Affiliate'!$C$580))))</f>
        <v>8</v>
      </c>
      <c r="G15" s="5" cm="1">
        <f t="array" ref="G15">SUM(IF(Affiliate!$N$2:$N$580=Table!$B15,IF(Affiliate!$A$2:'Affiliate'!$A$580&gt;=$D$2,IF(Affiliate!$A$2:'Affiliate'!$A$580&lt;=$D$3,Affiliate!$C$2:'Affiliate'!$C$580))))</f>
        <v>14</v>
      </c>
      <c r="H15" s="7">
        <f t="shared" si="1"/>
        <v>75</v>
      </c>
      <c r="I15" s="6" cm="1">
        <f t="array" ref="I15">SUM(IF(Affiliate!$N$2:$N$580=Table!$B15,IF(Affiliate!$A$2:'Affiliate'!$A$580&gt;=$C$2,IF(Affiliate!$A$2:'Affiliate'!$A$580&lt;=$C$3,Affiliate!$I$2:'Affiliate'!$I$580))))</f>
        <v>0</v>
      </c>
      <c r="J15" s="5" cm="1">
        <f t="array" ref="J15">SUM(IF(Affiliate!$N$2:$N$580=Table!$B15,IF(Affiliate!$A$2:'Affiliate'!$A$580&gt;=$D$2,IF(Affiliate!$A$2:'Affiliate'!$A$580&lt;=$D$3,Affiliate!$I$2:'Affiliate'!$I$580))))</f>
        <v>66.490000000000009</v>
      </c>
      <c r="K15" s="7" t="str">
        <f t="shared" si="2"/>
        <v/>
      </c>
      <c r="L15" s="6" t="str" cm="1">
        <f t="array" ref="L15">IF($I15&gt;0,$I15/SUM(IF(Affiliate!$N$2:$N$580=Table!$B15,IF(Affiliate!$A$2:'Affiliate'!$A$580&gt;=$C$2,IF(Affiliate!$A$2:'Affiliate'!$A$580&lt;=$C$3,Affiliate!$G$2:'Affiliate'!$G$580)))),"")</f>
        <v/>
      </c>
      <c r="M15" s="5" cm="1">
        <f t="array" ref="M15">IF($J15&gt;0,$J15/SUM(IF(Affiliate!$N$2:$N$580=Table!$B15,IF(Affiliate!$A$2:'Affiliate'!$A$580&gt;=$D$2,IF(Affiliate!$A$2:'Affiliate'!$A$580&lt;=$D$3,Affiliate!$G$2:'Affiliate'!$G$580)))),"")</f>
        <v>22.163333333333338</v>
      </c>
      <c r="N15" s="7" t="str">
        <f t="shared" si="3"/>
        <v/>
      </c>
    </row>
    <row r="16" spans="2:14" ht="15" thickBot="1" x14ac:dyDescent="0.35">
      <c r="B16" s="13" t="str">
        <f>Top_Partner!A13</f>
        <v>HigherDOSE LLC</v>
      </c>
      <c r="C16" s="8" cm="1">
        <f t="array" ref="C16">SUM(IF(Affiliate!$N$2:$N$580=Table!$B16,IF(Affiliate!$A$2:'Affiliate'!$A$580&gt;=$C$2,IF(Affiliate!$A$2:'Affiliate'!$A$580&lt;=$C$3,Affiliate!$F$2:'Affiliate'!$F$580))))</f>
        <v>0</v>
      </c>
      <c r="D16" s="9" cm="1">
        <f t="array" ref="D16">SUM(IF(Affiliate!$N$2:$N$580=Table!$B16,IF(Affiliate!$A$2:'Affiliate'!$A$580&gt;=$D$2,IF(Affiliate!$A$2:'Affiliate'!$A$580&lt;=$D$3,Affiliate!$F$2:'Affiliate'!$F$580))))</f>
        <v>541.65</v>
      </c>
      <c r="E16" s="10" t="str">
        <f t="shared" si="0"/>
        <v/>
      </c>
      <c r="F16" s="8" cm="1">
        <f t="array" ref="F16">SUM(IF(Affiliate!$N$2:$N$580=Table!$B16,IF(Affiliate!$A$2:'Affiliate'!$A$580&gt;=$C$2,IF(Affiliate!$A$2:'Affiliate'!$A$580&lt;=$C$3,Affiliate!$C$2:'Affiliate'!$C$580))))</f>
        <v>4</v>
      </c>
      <c r="G16" s="5" cm="1">
        <f t="array" ref="G16">SUM(IF(Affiliate!$N$2:$N$580=Table!$B16,IF(Affiliate!$A$2:'Affiliate'!$A$580&gt;=$D$2,IF(Affiliate!$A$2:'Affiliate'!$A$580&lt;=$D$3,Affiliate!$C$2:'Affiliate'!$C$580))))</f>
        <v>9</v>
      </c>
      <c r="H16" s="10">
        <f t="shared" si="1"/>
        <v>125</v>
      </c>
      <c r="I16" s="8" cm="1">
        <f t="array" ref="I16">SUM(IF(Affiliate!$N$2:$N$580=Table!$B16,IF(Affiliate!$A$2:'Affiliate'!$A$580&gt;=$C$2,IF(Affiliate!$A$2:'Affiliate'!$A$580&lt;=$C$3,Affiliate!$I$2:'Affiliate'!$I$580))))</f>
        <v>0</v>
      </c>
      <c r="J16" s="9" cm="1">
        <f t="array" ref="J16">SUM(IF(Affiliate!$N$2:$N$580=Table!$B16,IF(Affiliate!$A$2:'Affiliate'!$A$580&gt;=$D$2,IF(Affiliate!$A$2:'Affiliate'!$A$580&lt;=$D$3,Affiliate!$I$2:'Affiliate'!$I$580))))</f>
        <v>54.17</v>
      </c>
      <c r="K16" s="10" t="str">
        <f t="shared" si="2"/>
        <v/>
      </c>
      <c r="L16" s="8" t="str" cm="1">
        <f t="array" ref="L16">IF($I16&gt;0,$I16/SUM(IF(Affiliate!$N$2:$N$580=Table!$B16,IF(Affiliate!$A$2:'Affiliate'!$A$580&gt;=$C$2,IF(Affiliate!$A$2:'Affiliate'!$A$580&lt;=$C$3,Affiliate!$G$2:'Affiliate'!$G$580)))),"")</f>
        <v/>
      </c>
      <c r="M16" s="9" cm="1">
        <f t="array" ref="M16">IF($J16&gt;0,$J16/SUM(IF(Affiliate!$N$2:$N$580=Table!$B16,IF(Affiliate!$A$2:'Affiliate'!$A$580&gt;=$D$2,IF(Affiliate!$A$2:'Affiliate'!$A$580&lt;=$D$3,Affiliate!$G$2:'Affiliate'!$G$580)))),"")</f>
        <v>18.056666666666668</v>
      </c>
      <c r="N16" s="10" t="str">
        <f t="shared" si="3"/>
        <v/>
      </c>
    </row>
    <row r="18" spans="3:13" x14ac:dyDescent="0.3">
      <c r="M18" t="s">
        <v>299</v>
      </c>
    </row>
    <row r="22" spans="3:13" x14ac:dyDescent="0.3">
      <c r="C22" s="1"/>
      <c r="D22" s="19"/>
    </row>
  </sheetData>
  <mergeCells count="4">
    <mergeCell ref="C5:E5"/>
    <mergeCell ref="F5:H5"/>
    <mergeCell ref="I5:K5"/>
    <mergeCell ref="L5:N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3:B654"/>
  <sheetViews>
    <sheetView showGridLines="0" workbookViewId="0">
      <selection activeCell="I24" sqref="I24"/>
    </sheetView>
  </sheetViews>
  <sheetFormatPr defaultRowHeight="14.4" x14ac:dyDescent="0.3"/>
  <cols>
    <col min="1" max="1" width="34.6640625" style="1" bestFit="1" customWidth="1"/>
    <col min="2" max="2" width="20.5546875" bestFit="1" customWidth="1"/>
    <col min="3" max="3" width="11.6640625" bestFit="1" customWidth="1"/>
  </cols>
  <sheetData>
    <row r="3" spans="1:2" x14ac:dyDescent="0.3">
      <c r="A3" s="2" t="s">
        <v>285</v>
      </c>
      <c r="B3" t="s">
        <v>300</v>
      </c>
    </row>
    <row r="4" spans="1:2" x14ac:dyDescent="0.3">
      <c r="A4" s="3" t="s">
        <v>47</v>
      </c>
      <c r="B4" s="4">
        <v>11</v>
      </c>
    </row>
    <row r="5" spans="1:2" x14ac:dyDescent="0.3">
      <c r="A5" s="3" t="s">
        <v>29</v>
      </c>
      <c r="B5" s="4">
        <v>9</v>
      </c>
    </row>
    <row r="6" spans="1:2" x14ac:dyDescent="0.3">
      <c r="A6" s="3" t="s">
        <v>41</v>
      </c>
      <c r="B6" s="4">
        <v>6</v>
      </c>
    </row>
    <row r="7" spans="1:2" x14ac:dyDescent="0.3">
      <c r="A7" s="3" t="s">
        <v>38</v>
      </c>
      <c r="B7" s="4">
        <v>5</v>
      </c>
    </row>
    <row r="8" spans="1:2" x14ac:dyDescent="0.3">
      <c r="A8" s="3" t="s">
        <v>124</v>
      </c>
      <c r="B8" s="4">
        <v>4</v>
      </c>
    </row>
    <row r="9" spans="1:2" x14ac:dyDescent="0.3">
      <c r="A9" s="3" t="s">
        <v>50</v>
      </c>
      <c r="B9" s="4">
        <v>4</v>
      </c>
    </row>
    <row r="10" spans="1:2" x14ac:dyDescent="0.3">
      <c r="A10" s="3" t="s">
        <v>44</v>
      </c>
      <c r="B10" s="4">
        <v>3</v>
      </c>
    </row>
    <row r="11" spans="1:2" x14ac:dyDescent="0.3">
      <c r="A11" s="3" t="s">
        <v>91</v>
      </c>
      <c r="B11" s="4">
        <v>3</v>
      </c>
    </row>
    <row r="12" spans="1:2" x14ac:dyDescent="0.3">
      <c r="A12" s="3" t="s">
        <v>32</v>
      </c>
      <c r="B12" s="4">
        <v>3</v>
      </c>
    </row>
    <row r="13" spans="1:2" x14ac:dyDescent="0.3">
      <c r="A13" s="3" t="s">
        <v>118</v>
      </c>
      <c r="B13" s="4">
        <v>3</v>
      </c>
    </row>
    <row r="14" spans="1:2" x14ac:dyDescent="0.3">
      <c r="A14" s="3" t="s">
        <v>58</v>
      </c>
      <c r="B14" s="4">
        <v>2</v>
      </c>
    </row>
    <row r="15" spans="1:2" x14ac:dyDescent="0.3">
      <c r="A15" s="3" t="s">
        <v>61</v>
      </c>
      <c r="B15" s="4">
        <v>2</v>
      </c>
    </row>
    <row r="16" spans="1:2" x14ac:dyDescent="0.3">
      <c r="A16" s="3" t="s">
        <v>184</v>
      </c>
      <c r="B16" s="4">
        <v>2</v>
      </c>
    </row>
    <row r="17" spans="1:2" x14ac:dyDescent="0.3">
      <c r="A17" s="3" t="s">
        <v>73</v>
      </c>
      <c r="B17" s="4">
        <v>1</v>
      </c>
    </row>
    <row r="18" spans="1:2" x14ac:dyDescent="0.3">
      <c r="A18" s="3" t="s">
        <v>196</v>
      </c>
      <c r="B18" s="4">
        <v>1</v>
      </c>
    </row>
    <row r="19" spans="1:2" x14ac:dyDescent="0.3">
      <c r="A19" s="3" t="s">
        <v>64</v>
      </c>
      <c r="B19" s="4">
        <v>1</v>
      </c>
    </row>
    <row r="20" spans="1:2" x14ac:dyDescent="0.3">
      <c r="A20" s="3" t="s">
        <v>53</v>
      </c>
      <c r="B20" s="4">
        <v>1</v>
      </c>
    </row>
    <row r="21" spans="1:2" x14ac:dyDescent="0.3">
      <c r="A21" s="3" t="s">
        <v>94</v>
      </c>
      <c r="B21" s="4">
        <v>1</v>
      </c>
    </row>
    <row r="22" spans="1:2" x14ac:dyDescent="0.3">
      <c r="A22" s="3" t="s">
        <v>35</v>
      </c>
      <c r="B22" s="4">
        <v>1</v>
      </c>
    </row>
    <row r="23" spans="1:2" x14ac:dyDescent="0.3">
      <c r="A23" s="3" t="s">
        <v>88</v>
      </c>
      <c r="B23" s="4">
        <v>1</v>
      </c>
    </row>
    <row r="24" spans="1:2" x14ac:dyDescent="0.3">
      <c r="A24" s="3" t="s">
        <v>172</v>
      </c>
      <c r="B24" s="4">
        <v>0</v>
      </c>
    </row>
    <row r="25" spans="1:2" x14ac:dyDescent="0.3">
      <c r="A25" s="3" t="s">
        <v>151</v>
      </c>
      <c r="B25" s="4">
        <v>0</v>
      </c>
    </row>
    <row r="26" spans="1:2" x14ac:dyDescent="0.3">
      <c r="A26" s="3" t="s">
        <v>190</v>
      </c>
      <c r="B26" s="4">
        <v>0</v>
      </c>
    </row>
    <row r="27" spans="1:2" x14ac:dyDescent="0.3">
      <c r="A27" s="3" t="s">
        <v>145</v>
      </c>
      <c r="B27" s="4">
        <v>0</v>
      </c>
    </row>
    <row r="28" spans="1:2" x14ac:dyDescent="0.3">
      <c r="A28" s="3" t="s">
        <v>85</v>
      </c>
      <c r="B28" s="4">
        <v>0</v>
      </c>
    </row>
    <row r="29" spans="1:2" x14ac:dyDescent="0.3">
      <c r="A29" s="3" t="s">
        <v>148</v>
      </c>
      <c r="B29" s="4">
        <v>0</v>
      </c>
    </row>
    <row r="30" spans="1:2" x14ac:dyDescent="0.3">
      <c r="A30" s="3" t="s">
        <v>229</v>
      </c>
      <c r="B30" s="4">
        <v>0</v>
      </c>
    </row>
    <row r="31" spans="1:2" x14ac:dyDescent="0.3">
      <c r="A31" s="3" t="s">
        <v>157</v>
      </c>
      <c r="B31" s="4">
        <v>0</v>
      </c>
    </row>
    <row r="32" spans="1:2" x14ac:dyDescent="0.3">
      <c r="A32" s="3" t="s">
        <v>136</v>
      </c>
      <c r="B32" s="4">
        <v>0</v>
      </c>
    </row>
    <row r="33" spans="1:2" x14ac:dyDescent="0.3">
      <c r="A33" s="3" t="s">
        <v>109</v>
      </c>
      <c r="B33" s="4">
        <v>0</v>
      </c>
    </row>
    <row r="34" spans="1:2" x14ac:dyDescent="0.3">
      <c r="A34" s="3" t="s">
        <v>127</v>
      </c>
      <c r="B34" s="4">
        <v>0</v>
      </c>
    </row>
    <row r="35" spans="1:2" x14ac:dyDescent="0.3">
      <c r="A35" s="3" t="s">
        <v>208</v>
      </c>
      <c r="B35" s="4">
        <v>0</v>
      </c>
    </row>
    <row r="36" spans="1:2" x14ac:dyDescent="0.3">
      <c r="A36" s="3" t="s">
        <v>97</v>
      </c>
      <c r="B36" s="4">
        <v>0</v>
      </c>
    </row>
    <row r="37" spans="1:2" x14ac:dyDescent="0.3">
      <c r="A37" s="3" t="s">
        <v>202</v>
      </c>
      <c r="B37" s="4">
        <v>0</v>
      </c>
    </row>
    <row r="38" spans="1:2" x14ac:dyDescent="0.3">
      <c r="A38" s="3" t="s">
        <v>121</v>
      </c>
      <c r="B38" s="4">
        <v>0</v>
      </c>
    </row>
    <row r="39" spans="1:2" x14ac:dyDescent="0.3">
      <c r="A39" s="3" t="s">
        <v>169</v>
      </c>
      <c r="B39" s="4">
        <v>0</v>
      </c>
    </row>
    <row r="40" spans="1:2" x14ac:dyDescent="0.3">
      <c r="A40" s="3" t="s">
        <v>226</v>
      </c>
      <c r="B40" s="4">
        <v>0</v>
      </c>
    </row>
    <row r="41" spans="1:2" x14ac:dyDescent="0.3">
      <c r="A41" s="3" t="s">
        <v>193</v>
      </c>
      <c r="B41" s="4">
        <v>0</v>
      </c>
    </row>
    <row r="42" spans="1:2" x14ac:dyDescent="0.3">
      <c r="A42" s="3" t="s">
        <v>76</v>
      </c>
      <c r="B42" s="4">
        <v>0</v>
      </c>
    </row>
    <row r="43" spans="1:2" x14ac:dyDescent="0.3">
      <c r="A43" s="3" t="s">
        <v>142</v>
      </c>
      <c r="B43" s="4">
        <v>0</v>
      </c>
    </row>
    <row r="44" spans="1:2" x14ac:dyDescent="0.3">
      <c r="A44" s="3" t="s">
        <v>217</v>
      </c>
      <c r="B44" s="4">
        <v>0</v>
      </c>
    </row>
    <row r="45" spans="1:2" x14ac:dyDescent="0.3">
      <c r="A45" s="3" t="s">
        <v>232</v>
      </c>
      <c r="B45" s="4">
        <v>0</v>
      </c>
    </row>
    <row r="46" spans="1:2" x14ac:dyDescent="0.3">
      <c r="A46" s="3" t="s">
        <v>133</v>
      </c>
      <c r="B46" s="4">
        <v>0</v>
      </c>
    </row>
    <row r="47" spans="1:2" x14ac:dyDescent="0.3">
      <c r="A47" s="3" t="s">
        <v>205</v>
      </c>
      <c r="B47" s="4">
        <v>0</v>
      </c>
    </row>
    <row r="48" spans="1:2" x14ac:dyDescent="0.3">
      <c r="A48" s="3" t="s">
        <v>163</v>
      </c>
      <c r="B48" s="4">
        <v>0</v>
      </c>
    </row>
    <row r="49" spans="1:2" x14ac:dyDescent="0.3">
      <c r="A49" s="3" t="s">
        <v>67</v>
      </c>
      <c r="B49" s="4">
        <v>0</v>
      </c>
    </row>
    <row r="50" spans="1:2" x14ac:dyDescent="0.3">
      <c r="A50" s="3" t="s">
        <v>130</v>
      </c>
      <c r="B50" s="4">
        <v>0</v>
      </c>
    </row>
    <row r="51" spans="1:2" x14ac:dyDescent="0.3">
      <c r="A51" s="3" t="s">
        <v>286</v>
      </c>
      <c r="B51" s="4"/>
    </row>
    <row r="52" spans="1:2" x14ac:dyDescent="0.3">
      <c r="A52" s="3" t="s">
        <v>100</v>
      </c>
      <c r="B52" s="4">
        <v>0</v>
      </c>
    </row>
    <row r="53" spans="1:2" x14ac:dyDescent="0.3">
      <c r="A53" s="3" t="s">
        <v>103</v>
      </c>
      <c r="B53" s="4">
        <v>0</v>
      </c>
    </row>
    <row r="54" spans="1:2" x14ac:dyDescent="0.3">
      <c r="A54" s="3" t="s">
        <v>160</v>
      </c>
      <c r="B54" s="4">
        <v>0</v>
      </c>
    </row>
    <row r="55" spans="1:2" x14ac:dyDescent="0.3">
      <c r="A55" s="3" t="s">
        <v>139</v>
      </c>
      <c r="B55" s="4">
        <v>0</v>
      </c>
    </row>
    <row r="56" spans="1:2" x14ac:dyDescent="0.3">
      <c r="A56" s="3" t="s">
        <v>175</v>
      </c>
      <c r="B56" s="4">
        <v>0</v>
      </c>
    </row>
    <row r="57" spans="1:2" x14ac:dyDescent="0.3">
      <c r="A57" s="3" t="s">
        <v>178</v>
      </c>
      <c r="B57" s="4">
        <v>0</v>
      </c>
    </row>
    <row r="58" spans="1:2" x14ac:dyDescent="0.3">
      <c r="A58" s="3" t="s">
        <v>187</v>
      </c>
      <c r="B58" s="4">
        <v>0</v>
      </c>
    </row>
    <row r="59" spans="1:2" x14ac:dyDescent="0.3">
      <c r="A59" s="3" t="s">
        <v>223</v>
      </c>
      <c r="B59" s="4">
        <v>0</v>
      </c>
    </row>
    <row r="60" spans="1:2" x14ac:dyDescent="0.3">
      <c r="A60" s="3" t="s">
        <v>115</v>
      </c>
      <c r="B60" s="4">
        <v>0</v>
      </c>
    </row>
    <row r="61" spans="1:2" x14ac:dyDescent="0.3">
      <c r="A61" s="3" t="s">
        <v>70</v>
      </c>
      <c r="B61" s="4">
        <v>0</v>
      </c>
    </row>
    <row r="62" spans="1:2" x14ac:dyDescent="0.3">
      <c r="A62" s="3" t="s">
        <v>106</v>
      </c>
      <c r="B62" s="4">
        <v>0</v>
      </c>
    </row>
    <row r="63" spans="1:2" x14ac:dyDescent="0.3">
      <c r="A63" s="3" t="s">
        <v>214</v>
      </c>
      <c r="B63" s="4">
        <v>0</v>
      </c>
    </row>
    <row r="64" spans="1:2" x14ac:dyDescent="0.3">
      <c r="A64" s="3" t="s">
        <v>82</v>
      </c>
      <c r="B64" s="4">
        <v>0</v>
      </c>
    </row>
    <row r="65" spans="1:2" x14ac:dyDescent="0.3">
      <c r="A65" s="3" t="s">
        <v>79</v>
      </c>
      <c r="B65" s="4">
        <v>0</v>
      </c>
    </row>
    <row r="66" spans="1:2" x14ac:dyDescent="0.3">
      <c r="A66" s="3" t="s">
        <v>154</v>
      </c>
      <c r="B66" s="4">
        <v>0</v>
      </c>
    </row>
    <row r="67" spans="1:2" x14ac:dyDescent="0.3">
      <c r="A67" s="3" t="s">
        <v>199</v>
      </c>
      <c r="B67" s="4">
        <v>0</v>
      </c>
    </row>
    <row r="68" spans="1:2" x14ac:dyDescent="0.3">
      <c r="A68" s="3" t="s">
        <v>220</v>
      </c>
      <c r="B68" s="4">
        <v>0</v>
      </c>
    </row>
    <row r="69" spans="1:2" x14ac:dyDescent="0.3">
      <c r="A69" s="3" t="s">
        <v>181</v>
      </c>
      <c r="B69" s="4">
        <v>0</v>
      </c>
    </row>
    <row r="70" spans="1:2" x14ac:dyDescent="0.3">
      <c r="A70" s="3" t="s">
        <v>211</v>
      </c>
      <c r="B70" s="4">
        <v>0</v>
      </c>
    </row>
    <row r="71" spans="1:2" x14ac:dyDescent="0.3">
      <c r="A71" s="3" t="s">
        <v>166</v>
      </c>
      <c r="B71" s="4">
        <v>0</v>
      </c>
    </row>
    <row r="72" spans="1:2" x14ac:dyDescent="0.3">
      <c r="A72" s="3" t="s">
        <v>112</v>
      </c>
      <c r="B72" s="4">
        <v>0</v>
      </c>
    </row>
    <row r="73" spans="1:2" x14ac:dyDescent="0.3">
      <c r="A73" s="14" t="s">
        <v>287</v>
      </c>
      <c r="B73" s="4">
        <v>64</v>
      </c>
    </row>
    <row r="74" spans="1:2" x14ac:dyDescent="0.3">
      <c r="A74"/>
    </row>
    <row r="75" spans="1:2" x14ac:dyDescent="0.3">
      <c r="A75"/>
    </row>
    <row r="76" spans="1:2" x14ac:dyDescent="0.3">
      <c r="A76"/>
    </row>
    <row r="77" spans="1:2" x14ac:dyDescent="0.3">
      <c r="A77"/>
    </row>
    <row r="78" spans="1:2" x14ac:dyDescent="0.3">
      <c r="A78"/>
    </row>
    <row r="79" spans="1:2" x14ac:dyDescent="0.3">
      <c r="A79"/>
    </row>
    <row r="80" spans="1:2"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row r="138" spans="1:1" x14ac:dyDescent="0.3">
      <c r="A138"/>
    </row>
    <row r="139" spans="1:1" x14ac:dyDescent="0.3">
      <c r="A139"/>
    </row>
    <row r="140" spans="1:1" x14ac:dyDescent="0.3">
      <c r="A140"/>
    </row>
    <row r="141" spans="1:1" x14ac:dyDescent="0.3">
      <c r="A141"/>
    </row>
    <row r="142" spans="1:1" x14ac:dyDescent="0.3">
      <c r="A142"/>
    </row>
    <row r="143" spans="1:1" x14ac:dyDescent="0.3">
      <c r="A143"/>
    </row>
    <row r="144" spans="1:1" x14ac:dyDescent="0.3">
      <c r="A144"/>
    </row>
    <row r="145" spans="1:1" x14ac:dyDescent="0.3">
      <c r="A145"/>
    </row>
    <row r="146" spans="1:1" x14ac:dyDescent="0.3">
      <c r="A146"/>
    </row>
    <row r="147" spans="1:1" x14ac:dyDescent="0.3">
      <c r="A147"/>
    </row>
    <row r="148" spans="1:1" x14ac:dyDescent="0.3">
      <c r="A148"/>
    </row>
    <row r="149" spans="1:1" x14ac:dyDescent="0.3">
      <c r="A149"/>
    </row>
    <row r="150" spans="1:1" x14ac:dyDescent="0.3">
      <c r="A150"/>
    </row>
    <row r="151" spans="1:1" x14ac:dyDescent="0.3">
      <c r="A151"/>
    </row>
    <row r="152" spans="1:1" x14ac:dyDescent="0.3">
      <c r="A152"/>
    </row>
    <row r="153" spans="1:1" x14ac:dyDescent="0.3">
      <c r="A153"/>
    </row>
    <row r="154" spans="1:1" x14ac:dyDescent="0.3">
      <c r="A154"/>
    </row>
    <row r="155" spans="1:1" x14ac:dyDescent="0.3">
      <c r="A155"/>
    </row>
    <row r="156" spans="1:1" x14ac:dyDescent="0.3">
      <c r="A156"/>
    </row>
    <row r="157" spans="1:1" x14ac:dyDescent="0.3">
      <c r="A157"/>
    </row>
    <row r="158" spans="1:1" x14ac:dyDescent="0.3">
      <c r="A158"/>
    </row>
    <row r="159" spans="1:1" x14ac:dyDescent="0.3">
      <c r="A159"/>
    </row>
    <row r="160" spans="1:1" x14ac:dyDescent="0.3">
      <c r="A160"/>
    </row>
    <row r="161" spans="1:1" x14ac:dyDescent="0.3">
      <c r="A161"/>
    </row>
    <row r="162" spans="1:1" x14ac:dyDescent="0.3">
      <c r="A162"/>
    </row>
    <row r="163" spans="1:1" x14ac:dyDescent="0.3">
      <c r="A163"/>
    </row>
    <row r="164" spans="1:1" x14ac:dyDescent="0.3">
      <c r="A164"/>
    </row>
    <row r="165" spans="1:1" x14ac:dyDescent="0.3">
      <c r="A165"/>
    </row>
    <row r="166" spans="1:1" x14ac:dyDescent="0.3">
      <c r="A166"/>
    </row>
    <row r="167" spans="1:1" x14ac:dyDescent="0.3">
      <c r="A167"/>
    </row>
    <row r="168" spans="1:1" x14ac:dyDescent="0.3">
      <c r="A168"/>
    </row>
    <row r="169" spans="1:1" x14ac:dyDescent="0.3">
      <c r="A169"/>
    </row>
    <row r="170" spans="1:1" x14ac:dyDescent="0.3">
      <c r="A170"/>
    </row>
    <row r="171" spans="1:1" x14ac:dyDescent="0.3">
      <c r="A171"/>
    </row>
    <row r="172" spans="1:1" x14ac:dyDescent="0.3">
      <c r="A172"/>
    </row>
    <row r="173" spans="1:1" x14ac:dyDescent="0.3">
      <c r="A173"/>
    </row>
    <row r="174" spans="1:1" x14ac:dyDescent="0.3">
      <c r="A174"/>
    </row>
    <row r="175" spans="1:1" x14ac:dyDescent="0.3">
      <c r="A175"/>
    </row>
    <row r="176" spans="1:1"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row r="248" spans="1:1" x14ac:dyDescent="0.3">
      <c r="A248"/>
    </row>
    <row r="249" spans="1:1" x14ac:dyDescent="0.3">
      <c r="A249"/>
    </row>
    <row r="250" spans="1:1" x14ac:dyDescent="0.3">
      <c r="A250"/>
    </row>
    <row r="251" spans="1:1" x14ac:dyDescent="0.3">
      <c r="A251"/>
    </row>
    <row r="252" spans="1:1" x14ac:dyDescent="0.3">
      <c r="A252"/>
    </row>
    <row r="253" spans="1:1" x14ac:dyDescent="0.3">
      <c r="A253"/>
    </row>
    <row r="254" spans="1:1" x14ac:dyDescent="0.3">
      <c r="A254"/>
    </row>
    <row r="255" spans="1:1" x14ac:dyDescent="0.3">
      <c r="A255"/>
    </row>
    <row r="256" spans="1:1" x14ac:dyDescent="0.3">
      <c r="A256"/>
    </row>
    <row r="257" spans="1:1" x14ac:dyDescent="0.3">
      <c r="A257"/>
    </row>
    <row r="258" spans="1:1" x14ac:dyDescent="0.3">
      <c r="A258"/>
    </row>
    <row r="259" spans="1:1" x14ac:dyDescent="0.3">
      <c r="A259"/>
    </row>
    <row r="260" spans="1:1" x14ac:dyDescent="0.3">
      <c r="A260"/>
    </row>
    <row r="261" spans="1:1" x14ac:dyDescent="0.3">
      <c r="A261"/>
    </row>
    <row r="262" spans="1:1" x14ac:dyDescent="0.3">
      <c r="A262"/>
    </row>
    <row r="263" spans="1:1" x14ac:dyDescent="0.3">
      <c r="A263"/>
    </row>
    <row r="264" spans="1:1" x14ac:dyDescent="0.3">
      <c r="A264"/>
    </row>
    <row r="265" spans="1:1" x14ac:dyDescent="0.3">
      <c r="A265"/>
    </row>
    <row r="266" spans="1:1" x14ac:dyDescent="0.3">
      <c r="A266"/>
    </row>
    <row r="267" spans="1:1" x14ac:dyDescent="0.3">
      <c r="A267"/>
    </row>
    <row r="268" spans="1:1" x14ac:dyDescent="0.3">
      <c r="A268"/>
    </row>
    <row r="269" spans="1:1" x14ac:dyDescent="0.3">
      <c r="A269"/>
    </row>
    <row r="270" spans="1:1" x14ac:dyDescent="0.3">
      <c r="A270"/>
    </row>
    <row r="271" spans="1:1" x14ac:dyDescent="0.3">
      <c r="A271"/>
    </row>
    <row r="272" spans="1:1" x14ac:dyDescent="0.3">
      <c r="A272"/>
    </row>
    <row r="273" spans="1:1" x14ac:dyDescent="0.3">
      <c r="A273"/>
    </row>
    <row r="274" spans="1:1" x14ac:dyDescent="0.3">
      <c r="A274"/>
    </row>
    <row r="275" spans="1:1" x14ac:dyDescent="0.3">
      <c r="A275"/>
    </row>
    <row r="276" spans="1:1" x14ac:dyDescent="0.3">
      <c r="A276"/>
    </row>
    <row r="277" spans="1:1" x14ac:dyDescent="0.3">
      <c r="A277"/>
    </row>
    <row r="278" spans="1:1" x14ac:dyDescent="0.3">
      <c r="A278"/>
    </row>
    <row r="279" spans="1:1" x14ac:dyDescent="0.3">
      <c r="A279"/>
    </row>
    <row r="280" spans="1:1" x14ac:dyDescent="0.3">
      <c r="A280"/>
    </row>
    <row r="281" spans="1:1" x14ac:dyDescent="0.3">
      <c r="A281"/>
    </row>
    <row r="282" spans="1:1" x14ac:dyDescent="0.3">
      <c r="A282"/>
    </row>
    <row r="283" spans="1:1" x14ac:dyDescent="0.3">
      <c r="A283"/>
    </row>
    <row r="284" spans="1:1" x14ac:dyDescent="0.3">
      <c r="A284"/>
    </row>
    <row r="285" spans="1:1" x14ac:dyDescent="0.3">
      <c r="A285"/>
    </row>
    <row r="286" spans="1:1" x14ac:dyDescent="0.3">
      <c r="A286"/>
    </row>
    <row r="287" spans="1:1" x14ac:dyDescent="0.3">
      <c r="A287"/>
    </row>
    <row r="288" spans="1:1" x14ac:dyDescent="0.3">
      <c r="A288"/>
    </row>
    <row r="289" spans="1:1" x14ac:dyDescent="0.3">
      <c r="A289"/>
    </row>
    <row r="290" spans="1:1" x14ac:dyDescent="0.3">
      <c r="A290"/>
    </row>
    <row r="291" spans="1:1" x14ac:dyDescent="0.3">
      <c r="A291"/>
    </row>
    <row r="292" spans="1:1" x14ac:dyDescent="0.3">
      <c r="A292"/>
    </row>
    <row r="293" spans="1:1" x14ac:dyDescent="0.3">
      <c r="A293"/>
    </row>
    <row r="294" spans="1:1" x14ac:dyDescent="0.3">
      <c r="A294"/>
    </row>
    <row r="295" spans="1:1" x14ac:dyDescent="0.3">
      <c r="A295"/>
    </row>
    <row r="296" spans="1:1" x14ac:dyDescent="0.3">
      <c r="A296"/>
    </row>
    <row r="297" spans="1:1" x14ac:dyDescent="0.3">
      <c r="A297"/>
    </row>
    <row r="298" spans="1:1" x14ac:dyDescent="0.3">
      <c r="A298"/>
    </row>
    <row r="299" spans="1:1" x14ac:dyDescent="0.3">
      <c r="A299"/>
    </row>
    <row r="300" spans="1:1" x14ac:dyDescent="0.3">
      <c r="A300"/>
    </row>
    <row r="301" spans="1:1" x14ac:dyDescent="0.3">
      <c r="A301"/>
    </row>
    <row r="302" spans="1:1" x14ac:dyDescent="0.3">
      <c r="A302"/>
    </row>
    <row r="303" spans="1:1" x14ac:dyDescent="0.3">
      <c r="A303"/>
    </row>
    <row r="304" spans="1:1" x14ac:dyDescent="0.3">
      <c r="A304"/>
    </row>
    <row r="305" spans="1:1" x14ac:dyDescent="0.3">
      <c r="A305"/>
    </row>
    <row r="306" spans="1:1" x14ac:dyDescent="0.3">
      <c r="A306"/>
    </row>
    <row r="307" spans="1:1" x14ac:dyDescent="0.3">
      <c r="A307"/>
    </row>
    <row r="308" spans="1:1" x14ac:dyDescent="0.3">
      <c r="A308"/>
    </row>
    <row r="309" spans="1:1" x14ac:dyDescent="0.3">
      <c r="A309"/>
    </row>
    <row r="310" spans="1:1" x14ac:dyDescent="0.3">
      <c r="A310"/>
    </row>
    <row r="311" spans="1:1" x14ac:dyDescent="0.3">
      <c r="A311"/>
    </row>
    <row r="312" spans="1:1" x14ac:dyDescent="0.3">
      <c r="A312"/>
    </row>
    <row r="313" spans="1:1" x14ac:dyDescent="0.3">
      <c r="A313"/>
    </row>
    <row r="314" spans="1:1" x14ac:dyDescent="0.3">
      <c r="A314"/>
    </row>
    <row r="315" spans="1:1" x14ac:dyDescent="0.3">
      <c r="A315"/>
    </row>
    <row r="316" spans="1:1" x14ac:dyDescent="0.3">
      <c r="A316"/>
    </row>
    <row r="317" spans="1:1" x14ac:dyDescent="0.3">
      <c r="A317"/>
    </row>
    <row r="318" spans="1:1" x14ac:dyDescent="0.3">
      <c r="A318"/>
    </row>
    <row r="319" spans="1:1" x14ac:dyDescent="0.3">
      <c r="A319"/>
    </row>
    <row r="320" spans="1:1" x14ac:dyDescent="0.3">
      <c r="A320"/>
    </row>
    <row r="321" spans="1:1" x14ac:dyDescent="0.3">
      <c r="A321"/>
    </row>
    <row r="322" spans="1:1" x14ac:dyDescent="0.3">
      <c r="A322"/>
    </row>
    <row r="323" spans="1:1" x14ac:dyDescent="0.3">
      <c r="A323"/>
    </row>
    <row r="324" spans="1:1" x14ac:dyDescent="0.3">
      <c r="A324"/>
    </row>
    <row r="325" spans="1:1" x14ac:dyDescent="0.3">
      <c r="A325"/>
    </row>
    <row r="326" spans="1:1" x14ac:dyDescent="0.3">
      <c r="A326"/>
    </row>
    <row r="327" spans="1:1" x14ac:dyDescent="0.3">
      <c r="A327"/>
    </row>
    <row r="328" spans="1:1" x14ac:dyDescent="0.3">
      <c r="A328"/>
    </row>
    <row r="329" spans="1:1" x14ac:dyDescent="0.3">
      <c r="A329"/>
    </row>
    <row r="330" spans="1:1" x14ac:dyDescent="0.3">
      <c r="A330"/>
    </row>
    <row r="331" spans="1:1" x14ac:dyDescent="0.3">
      <c r="A331"/>
    </row>
    <row r="332" spans="1:1" x14ac:dyDescent="0.3">
      <c r="A332"/>
    </row>
    <row r="333" spans="1:1" x14ac:dyDescent="0.3">
      <c r="A333"/>
    </row>
    <row r="334" spans="1:1" x14ac:dyDescent="0.3">
      <c r="A334"/>
    </row>
    <row r="335" spans="1:1" x14ac:dyDescent="0.3">
      <c r="A335"/>
    </row>
    <row r="336" spans="1:1" x14ac:dyDescent="0.3">
      <c r="A336"/>
    </row>
    <row r="337" spans="1:1" x14ac:dyDescent="0.3">
      <c r="A337"/>
    </row>
    <row r="338" spans="1:1" x14ac:dyDescent="0.3">
      <c r="A338"/>
    </row>
    <row r="339" spans="1:1" x14ac:dyDescent="0.3">
      <c r="A339"/>
    </row>
    <row r="340" spans="1:1" x14ac:dyDescent="0.3">
      <c r="A340"/>
    </row>
    <row r="341" spans="1:1" x14ac:dyDescent="0.3">
      <c r="A341"/>
    </row>
    <row r="342" spans="1:1" x14ac:dyDescent="0.3">
      <c r="A342"/>
    </row>
    <row r="343" spans="1:1" x14ac:dyDescent="0.3">
      <c r="A343"/>
    </row>
    <row r="344" spans="1:1" x14ac:dyDescent="0.3">
      <c r="A344"/>
    </row>
    <row r="345" spans="1:1" x14ac:dyDescent="0.3">
      <c r="A345"/>
    </row>
    <row r="346" spans="1:1" x14ac:dyDescent="0.3">
      <c r="A346"/>
    </row>
    <row r="347" spans="1:1" x14ac:dyDescent="0.3">
      <c r="A347"/>
    </row>
    <row r="348" spans="1:1" x14ac:dyDescent="0.3">
      <c r="A348"/>
    </row>
    <row r="349" spans="1:1" x14ac:dyDescent="0.3">
      <c r="A349"/>
    </row>
    <row r="350" spans="1:1" x14ac:dyDescent="0.3">
      <c r="A350"/>
    </row>
    <row r="351" spans="1:1" x14ac:dyDescent="0.3">
      <c r="A351"/>
    </row>
    <row r="352" spans="1:1" x14ac:dyDescent="0.3">
      <c r="A352"/>
    </row>
    <row r="353" spans="1:1" x14ac:dyDescent="0.3">
      <c r="A353"/>
    </row>
    <row r="354" spans="1:1" x14ac:dyDescent="0.3">
      <c r="A354"/>
    </row>
    <row r="355" spans="1:1" x14ac:dyDescent="0.3">
      <c r="A355"/>
    </row>
    <row r="356" spans="1:1" x14ac:dyDescent="0.3">
      <c r="A356"/>
    </row>
    <row r="357" spans="1:1" x14ac:dyDescent="0.3">
      <c r="A357"/>
    </row>
    <row r="358" spans="1:1" x14ac:dyDescent="0.3">
      <c r="A358"/>
    </row>
    <row r="359" spans="1:1" x14ac:dyDescent="0.3">
      <c r="A359"/>
    </row>
    <row r="360" spans="1:1" x14ac:dyDescent="0.3">
      <c r="A360"/>
    </row>
    <row r="361" spans="1:1" x14ac:dyDescent="0.3">
      <c r="A361"/>
    </row>
    <row r="362" spans="1:1" x14ac:dyDescent="0.3">
      <c r="A362"/>
    </row>
    <row r="363" spans="1:1" x14ac:dyDescent="0.3">
      <c r="A363"/>
    </row>
    <row r="364" spans="1:1" x14ac:dyDescent="0.3">
      <c r="A364"/>
    </row>
    <row r="365" spans="1:1" x14ac:dyDescent="0.3">
      <c r="A365"/>
    </row>
    <row r="366" spans="1:1" x14ac:dyDescent="0.3">
      <c r="A366"/>
    </row>
    <row r="367" spans="1:1" x14ac:dyDescent="0.3">
      <c r="A367"/>
    </row>
    <row r="368" spans="1:1" x14ac:dyDescent="0.3">
      <c r="A368"/>
    </row>
    <row r="369" spans="1:1" x14ac:dyDescent="0.3">
      <c r="A369"/>
    </row>
    <row r="370" spans="1:1" x14ac:dyDescent="0.3">
      <c r="A370"/>
    </row>
    <row r="371" spans="1:1" x14ac:dyDescent="0.3">
      <c r="A371"/>
    </row>
    <row r="372" spans="1:1" x14ac:dyDescent="0.3">
      <c r="A372"/>
    </row>
    <row r="373" spans="1:1" x14ac:dyDescent="0.3">
      <c r="A373"/>
    </row>
    <row r="374" spans="1:1" x14ac:dyDescent="0.3">
      <c r="A374"/>
    </row>
    <row r="375" spans="1:1" x14ac:dyDescent="0.3">
      <c r="A375"/>
    </row>
    <row r="376" spans="1:1" x14ac:dyDescent="0.3">
      <c r="A376"/>
    </row>
    <row r="377" spans="1:1" x14ac:dyDescent="0.3">
      <c r="A377"/>
    </row>
    <row r="378" spans="1:1" x14ac:dyDescent="0.3">
      <c r="A378"/>
    </row>
    <row r="379" spans="1:1" x14ac:dyDescent="0.3">
      <c r="A379"/>
    </row>
    <row r="380" spans="1:1" x14ac:dyDescent="0.3">
      <c r="A380"/>
    </row>
    <row r="381" spans="1:1" x14ac:dyDescent="0.3">
      <c r="A381"/>
    </row>
    <row r="382" spans="1:1" x14ac:dyDescent="0.3">
      <c r="A382"/>
    </row>
    <row r="383" spans="1:1" x14ac:dyDescent="0.3">
      <c r="A383"/>
    </row>
    <row r="384" spans="1:1" x14ac:dyDescent="0.3">
      <c r="A384"/>
    </row>
    <row r="385" spans="1:1" x14ac:dyDescent="0.3">
      <c r="A385"/>
    </row>
    <row r="386" spans="1:1" x14ac:dyDescent="0.3">
      <c r="A386"/>
    </row>
    <row r="387" spans="1:1" x14ac:dyDescent="0.3">
      <c r="A387"/>
    </row>
    <row r="388" spans="1:1" x14ac:dyDescent="0.3">
      <c r="A388"/>
    </row>
    <row r="389" spans="1:1" x14ac:dyDescent="0.3">
      <c r="A389"/>
    </row>
    <row r="390" spans="1:1" x14ac:dyDescent="0.3">
      <c r="A390"/>
    </row>
    <row r="391" spans="1:1" x14ac:dyDescent="0.3">
      <c r="A391"/>
    </row>
    <row r="392" spans="1:1" x14ac:dyDescent="0.3">
      <c r="A392"/>
    </row>
    <row r="393" spans="1:1" x14ac:dyDescent="0.3">
      <c r="A393"/>
    </row>
    <row r="394" spans="1:1" x14ac:dyDescent="0.3">
      <c r="A394"/>
    </row>
    <row r="395" spans="1:1" x14ac:dyDescent="0.3">
      <c r="A395"/>
    </row>
    <row r="396" spans="1:1" x14ac:dyDescent="0.3">
      <c r="A396"/>
    </row>
    <row r="397" spans="1:1" x14ac:dyDescent="0.3">
      <c r="A397"/>
    </row>
    <row r="398" spans="1:1" x14ac:dyDescent="0.3">
      <c r="A398"/>
    </row>
    <row r="399" spans="1:1" x14ac:dyDescent="0.3">
      <c r="A399"/>
    </row>
    <row r="400" spans="1:1" x14ac:dyDescent="0.3">
      <c r="A400"/>
    </row>
    <row r="401" spans="1:1" x14ac:dyDescent="0.3">
      <c r="A401"/>
    </row>
    <row r="402" spans="1:1" x14ac:dyDescent="0.3">
      <c r="A402"/>
    </row>
    <row r="403" spans="1:1" x14ac:dyDescent="0.3">
      <c r="A403"/>
    </row>
    <row r="404" spans="1:1" x14ac:dyDescent="0.3">
      <c r="A404"/>
    </row>
    <row r="405" spans="1:1" x14ac:dyDescent="0.3">
      <c r="A405"/>
    </row>
    <row r="406" spans="1:1" x14ac:dyDescent="0.3">
      <c r="A406"/>
    </row>
    <row r="407" spans="1:1" x14ac:dyDescent="0.3">
      <c r="A407"/>
    </row>
    <row r="408" spans="1:1" x14ac:dyDescent="0.3">
      <c r="A408"/>
    </row>
    <row r="409" spans="1:1" x14ac:dyDescent="0.3">
      <c r="A409"/>
    </row>
    <row r="410" spans="1:1" x14ac:dyDescent="0.3">
      <c r="A410"/>
    </row>
    <row r="411" spans="1:1" x14ac:dyDescent="0.3">
      <c r="A411"/>
    </row>
    <row r="412" spans="1:1" x14ac:dyDescent="0.3">
      <c r="A412"/>
    </row>
    <row r="413" spans="1:1" x14ac:dyDescent="0.3">
      <c r="A413"/>
    </row>
    <row r="414" spans="1:1" x14ac:dyDescent="0.3">
      <c r="A414"/>
    </row>
    <row r="415" spans="1:1" x14ac:dyDescent="0.3">
      <c r="A415"/>
    </row>
    <row r="416" spans="1:1" x14ac:dyDescent="0.3">
      <c r="A416"/>
    </row>
    <row r="417" spans="1:1" x14ac:dyDescent="0.3">
      <c r="A417"/>
    </row>
    <row r="418" spans="1:1" x14ac:dyDescent="0.3">
      <c r="A418"/>
    </row>
    <row r="419" spans="1:1" x14ac:dyDescent="0.3">
      <c r="A419"/>
    </row>
    <row r="420" spans="1:1" x14ac:dyDescent="0.3">
      <c r="A420"/>
    </row>
    <row r="421" spans="1:1" x14ac:dyDescent="0.3">
      <c r="A421"/>
    </row>
    <row r="422" spans="1:1" x14ac:dyDescent="0.3">
      <c r="A422"/>
    </row>
    <row r="423" spans="1:1" x14ac:dyDescent="0.3">
      <c r="A423"/>
    </row>
    <row r="424" spans="1:1" x14ac:dyDescent="0.3">
      <c r="A424"/>
    </row>
    <row r="425" spans="1:1" x14ac:dyDescent="0.3">
      <c r="A425"/>
    </row>
    <row r="426" spans="1:1" x14ac:dyDescent="0.3">
      <c r="A426"/>
    </row>
    <row r="427" spans="1:1" x14ac:dyDescent="0.3">
      <c r="A427"/>
    </row>
    <row r="428" spans="1:1" x14ac:dyDescent="0.3">
      <c r="A428"/>
    </row>
    <row r="429" spans="1:1" x14ac:dyDescent="0.3">
      <c r="A429"/>
    </row>
    <row r="430" spans="1:1" x14ac:dyDescent="0.3">
      <c r="A430"/>
    </row>
    <row r="431" spans="1:1" x14ac:dyDescent="0.3">
      <c r="A431"/>
    </row>
    <row r="432" spans="1:1" x14ac:dyDescent="0.3">
      <c r="A432"/>
    </row>
    <row r="433" spans="1:1" x14ac:dyDescent="0.3">
      <c r="A433"/>
    </row>
    <row r="434" spans="1:1" x14ac:dyDescent="0.3">
      <c r="A434"/>
    </row>
    <row r="435" spans="1:1" x14ac:dyDescent="0.3">
      <c r="A435"/>
    </row>
    <row r="436" spans="1:1" x14ac:dyDescent="0.3">
      <c r="A436"/>
    </row>
    <row r="437" spans="1:1" x14ac:dyDescent="0.3">
      <c r="A437"/>
    </row>
    <row r="438" spans="1:1" x14ac:dyDescent="0.3">
      <c r="A438"/>
    </row>
    <row r="439" spans="1:1" x14ac:dyDescent="0.3">
      <c r="A439"/>
    </row>
    <row r="440" spans="1:1" x14ac:dyDescent="0.3">
      <c r="A440"/>
    </row>
    <row r="441" spans="1:1" x14ac:dyDescent="0.3">
      <c r="A441"/>
    </row>
    <row r="442" spans="1:1" x14ac:dyDescent="0.3">
      <c r="A442"/>
    </row>
    <row r="443" spans="1:1" x14ac:dyDescent="0.3">
      <c r="A443"/>
    </row>
    <row r="444" spans="1:1" x14ac:dyDescent="0.3">
      <c r="A444"/>
    </row>
    <row r="445" spans="1:1" x14ac:dyDescent="0.3">
      <c r="A445"/>
    </row>
    <row r="446" spans="1:1" x14ac:dyDescent="0.3">
      <c r="A446"/>
    </row>
    <row r="447" spans="1:1" x14ac:dyDescent="0.3">
      <c r="A447"/>
    </row>
    <row r="448" spans="1:1" x14ac:dyDescent="0.3">
      <c r="A448"/>
    </row>
    <row r="449" spans="1:1" x14ac:dyDescent="0.3">
      <c r="A449"/>
    </row>
    <row r="450" spans="1:1" x14ac:dyDescent="0.3">
      <c r="A450"/>
    </row>
    <row r="451" spans="1:1" x14ac:dyDescent="0.3">
      <c r="A451"/>
    </row>
    <row r="452" spans="1:1" x14ac:dyDescent="0.3">
      <c r="A452"/>
    </row>
    <row r="453" spans="1:1" x14ac:dyDescent="0.3">
      <c r="A453"/>
    </row>
    <row r="454" spans="1:1" x14ac:dyDescent="0.3">
      <c r="A454"/>
    </row>
    <row r="455" spans="1:1" x14ac:dyDescent="0.3">
      <c r="A455"/>
    </row>
    <row r="456" spans="1:1" x14ac:dyDescent="0.3">
      <c r="A456"/>
    </row>
    <row r="457" spans="1:1" x14ac:dyDescent="0.3">
      <c r="A457"/>
    </row>
    <row r="458" spans="1:1" x14ac:dyDescent="0.3">
      <c r="A458"/>
    </row>
    <row r="459" spans="1:1" x14ac:dyDescent="0.3">
      <c r="A459"/>
    </row>
    <row r="460" spans="1:1" x14ac:dyDescent="0.3">
      <c r="A460"/>
    </row>
    <row r="461" spans="1:1" x14ac:dyDescent="0.3">
      <c r="A461"/>
    </row>
    <row r="462" spans="1:1" x14ac:dyDescent="0.3">
      <c r="A462"/>
    </row>
    <row r="463" spans="1:1" x14ac:dyDescent="0.3">
      <c r="A463"/>
    </row>
    <row r="464" spans="1:1" x14ac:dyDescent="0.3">
      <c r="A464"/>
    </row>
    <row r="465" spans="1:1" x14ac:dyDescent="0.3">
      <c r="A465"/>
    </row>
    <row r="466" spans="1:1" x14ac:dyDescent="0.3">
      <c r="A466"/>
    </row>
    <row r="467" spans="1:1" x14ac:dyDescent="0.3">
      <c r="A467"/>
    </row>
    <row r="468" spans="1:1" x14ac:dyDescent="0.3">
      <c r="A468"/>
    </row>
    <row r="469" spans="1:1" x14ac:dyDescent="0.3">
      <c r="A469"/>
    </row>
    <row r="470" spans="1:1" x14ac:dyDescent="0.3">
      <c r="A470"/>
    </row>
    <row r="471" spans="1:1" x14ac:dyDescent="0.3">
      <c r="A471"/>
    </row>
    <row r="472" spans="1:1" x14ac:dyDescent="0.3">
      <c r="A472"/>
    </row>
    <row r="473" spans="1:1" x14ac:dyDescent="0.3">
      <c r="A473"/>
    </row>
    <row r="474" spans="1:1" x14ac:dyDescent="0.3">
      <c r="A474"/>
    </row>
    <row r="475" spans="1:1" x14ac:dyDescent="0.3">
      <c r="A475"/>
    </row>
    <row r="476" spans="1:1" x14ac:dyDescent="0.3">
      <c r="A476"/>
    </row>
    <row r="477" spans="1:1" x14ac:dyDescent="0.3">
      <c r="A477"/>
    </row>
    <row r="478" spans="1:1" x14ac:dyDescent="0.3">
      <c r="A478"/>
    </row>
    <row r="479" spans="1:1" x14ac:dyDescent="0.3">
      <c r="A479"/>
    </row>
    <row r="480" spans="1:1" x14ac:dyDescent="0.3">
      <c r="A480"/>
    </row>
    <row r="481" spans="1:1" x14ac:dyDescent="0.3">
      <c r="A481"/>
    </row>
    <row r="482" spans="1:1" x14ac:dyDescent="0.3">
      <c r="A482"/>
    </row>
    <row r="483" spans="1:1" x14ac:dyDescent="0.3">
      <c r="A483"/>
    </row>
    <row r="484" spans="1:1" x14ac:dyDescent="0.3">
      <c r="A484"/>
    </row>
    <row r="485" spans="1:1" x14ac:dyDescent="0.3">
      <c r="A485"/>
    </row>
    <row r="486" spans="1:1" x14ac:dyDescent="0.3">
      <c r="A486"/>
    </row>
    <row r="487" spans="1:1" x14ac:dyDescent="0.3">
      <c r="A487"/>
    </row>
    <row r="488" spans="1:1" x14ac:dyDescent="0.3">
      <c r="A488"/>
    </row>
    <row r="489" spans="1:1" x14ac:dyDescent="0.3">
      <c r="A489"/>
    </row>
    <row r="490" spans="1:1" x14ac:dyDescent="0.3">
      <c r="A490"/>
    </row>
    <row r="491" spans="1:1" x14ac:dyDescent="0.3">
      <c r="A491"/>
    </row>
    <row r="492" spans="1:1" x14ac:dyDescent="0.3">
      <c r="A492"/>
    </row>
    <row r="493" spans="1:1" x14ac:dyDescent="0.3">
      <c r="A493"/>
    </row>
    <row r="494" spans="1:1" x14ac:dyDescent="0.3">
      <c r="A494"/>
    </row>
    <row r="495" spans="1:1" x14ac:dyDescent="0.3">
      <c r="A495"/>
    </row>
    <row r="496" spans="1:1" x14ac:dyDescent="0.3">
      <c r="A496"/>
    </row>
    <row r="497" spans="1:1" x14ac:dyDescent="0.3">
      <c r="A497"/>
    </row>
    <row r="498" spans="1:1" x14ac:dyDescent="0.3">
      <c r="A498"/>
    </row>
    <row r="499" spans="1:1" x14ac:dyDescent="0.3">
      <c r="A499"/>
    </row>
    <row r="500" spans="1:1" x14ac:dyDescent="0.3">
      <c r="A500"/>
    </row>
    <row r="501" spans="1:1" x14ac:dyDescent="0.3">
      <c r="A501"/>
    </row>
    <row r="502" spans="1:1" x14ac:dyDescent="0.3">
      <c r="A502"/>
    </row>
    <row r="503" spans="1:1" x14ac:dyDescent="0.3">
      <c r="A503"/>
    </row>
    <row r="504" spans="1:1" x14ac:dyDescent="0.3">
      <c r="A504"/>
    </row>
    <row r="505" spans="1:1" x14ac:dyDescent="0.3">
      <c r="A505"/>
    </row>
    <row r="506" spans="1:1" x14ac:dyDescent="0.3">
      <c r="A506"/>
    </row>
    <row r="507" spans="1:1" x14ac:dyDescent="0.3">
      <c r="A507"/>
    </row>
    <row r="508" spans="1:1" x14ac:dyDescent="0.3">
      <c r="A508"/>
    </row>
    <row r="509" spans="1:1" x14ac:dyDescent="0.3">
      <c r="A509"/>
    </row>
    <row r="510" spans="1:1" x14ac:dyDescent="0.3">
      <c r="A510"/>
    </row>
    <row r="511" spans="1:1" x14ac:dyDescent="0.3">
      <c r="A511"/>
    </row>
    <row r="512" spans="1:1" x14ac:dyDescent="0.3">
      <c r="A512"/>
    </row>
    <row r="513" spans="1:1" x14ac:dyDescent="0.3">
      <c r="A513"/>
    </row>
    <row r="514" spans="1:1" x14ac:dyDescent="0.3">
      <c r="A514"/>
    </row>
    <row r="515" spans="1:1" x14ac:dyDescent="0.3">
      <c r="A515"/>
    </row>
    <row r="516" spans="1:1" x14ac:dyDescent="0.3">
      <c r="A516"/>
    </row>
    <row r="517" spans="1:1" x14ac:dyDescent="0.3">
      <c r="A517"/>
    </row>
    <row r="518" spans="1:1" x14ac:dyDescent="0.3">
      <c r="A518"/>
    </row>
    <row r="519" spans="1:1" x14ac:dyDescent="0.3">
      <c r="A519"/>
    </row>
    <row r="520" spans="1:1" x14ac:dyDescent="0.3">
      <c r="A520"/>
    </row>
    <row r="521" spans="1:1" x14ac:dyDescent="0.3">
      <c r="A521"/>
    </row>
    <row r="522" spans="1:1" x14ac:dyDescent="0.3">
      <c r="A522"/>
    </row>
    <row r="523" spans="1:1" x14ac:dyDescent="0.3">
      <c r="A523"/>
    </row>
    <row r="524" spans="1:1" x14ac:dyDescent="0.3">
      <c r="A524"/>
    </row>
    <row r="525" spans="1:1" x14ac:dyDescent="0.3">
      <c r="A525"/>
    </row>
    <row r="526" spans="1:1" x14ac:dyDescent="0.3">
      <c r="A526"/>
    </row>
    <row r="527" spans="1:1" x14ac:dyDescent="0.3">
      <c r="A527"/>
    </row>
    <row r="528" spans="1:1" x14ac:dyDescent="0.3">
      <c r="A528"/>
    </row>
    <row r="529" spans="1:1" x14ac:dyDescent="0.3">
      <c r="A529"/>
    </row>
    <row r="530" spans="1:1" x14ac:dyDescent="0.3">
      <c r="A530"/>
    </row>
    <row r="531" spans="1:1" x14ac:dyDescent="0.3">
      <c r="A531"/>
    </row>
    <row r="532" spans="1:1" x14ac:dyDescent="0.3">
      <c r="A532"/>
    </row>
    <row r="533" spans="1:1" x14ac:dyDescent="0.3">
      <c r="A533"/>
    </row>
    <row r="534" spans="1:1" x14ac:dyDescent="0.3">
      <c r="A534"/>
    </row>
    <row r="535" spans="1:1" x14ac:dyDescent="0.3">
      <c r="A535"/>
    </row>
    <row r="536" spans="1:1" x14ac:dyDescent="0.3">
      <c r="A536"/>
    </row>
    <row r="537" spans="1:1" x14ac:dyDescent="0.3">
      <c r="A537"/>
    </row>
    <row r="538" spans="1:1" x14ac:dyDescent="0.3">
      <c r="A538"/>
    </row>
    <row r="539" spans="1:1" x14ac:dyDescent="0.3">
      <c r="A539"/>
    </row>
    <row r="540" spans="1:1" x14ac:dyDescent="0.3">
      <c r="A540"/>
    </row>
    <row r="541" spans="1:1" x14ac:dyDescent="0.3">
      <c r="A541"/>
    </row>
    <row r="542" spans="1:1" x14ac:dyDescent="0.3">
      <c r="A542"/>
    </row>
    <row r="543" spans="1:1" x14ac:dyDescent="0.3">
      <c r="A543"/>
    </row>
    <row r="544" spans="1:1" x14ac:dyDescent="0.3">
      <c r="A544"/>
    </row>
    <row r="545" spans="1:1" x14ac:dyDescent="0.3">
      <c r="A545"/>
    </row>
    <row r="546" spans="1:1" x14ac:dyDescent="0.3">
      <c r="A546"/>
    </row>
    <row r="547" spans="1:1" x14ac:dyDescent="0.3">
      <c r="A547"/>
    </row>
    <row r="548" spans="1:1" x14ac:dyDescent="0.3">
      <c r="A548"/>
    </row>
    <row r="549" spans="1:1" x14ac:dyDescent="0.3">
      <c r="A549"/>
    </row>
    <row r="550" spans="1:1" x14ac:dyDescent="0.3">
      <c r="A550"/>
    </row>
    <row r="551" spans="1:1" x14ac:dyDescent="0.3">
      <c r="A551"/>
    </row>
    <row r="552" spans="1:1" x14ac:dyDescent="0.3">
      <c r="A552"/>
    </row>
    <row r="553" spans="1:1" x14ac:dyDescent="0.3">
      <c r="A553"/>
    </row>
    <row r="554" spans="1:1" x14ac:dyDescent="0.3">
      <c r="A554"/>
    </row>
    <row r="555" spans="1:1" x14ac:dyDescent="0.3">
      <c r="A555"/>
    </row>
    <row r="556" spans="1:1" x14ac:dyDescent="0.3">
      <c r="A556"/>
    </row>
    <row r="557" spans="1:1" x14ac:dyDescent="0.3">
      <c r="A557"/>
    </row>
    <row r="558" spans="1:1" x14ac:dyDescent="0.3">
      <c r="A558"/>
    </row>
    <row r="559" spans="1:1" x14ac:dyDescent="0.3">
      <c r="A559"/>
    </row>
    <row r="560" spans="1:1" x14ac:dyDescent="0.3">
      <c r="A560"/>
    </row>
    <row r="561" spans="1:1" x14ac:dyDescent="0.3">
      <c r="A561"/>
    </row>
    <row r="562" spans="1:1" x14ac:dyDescent="0.3">
      <c r="A562"/>
    </row>
    <row r="563" spans="1:1" x14ac:dyDescent="0.3">
      <c r="A563"/>
    </row>
    <row r="564" spans="1:1" x14ac:dyDescent="0.3">
      <c r="A564"/>
    </row>
    <row r="565" spans="1:1" x14ac:dyDescent="0.3">
      <c r="A565"/>
    </row>
    <row r="566" spans="1:1" x14ac:dyDescent="0.3">
      <c r="A566"/>
    </row>
    <row r="567" spans="1:1" x14ac:dyDescent="0.3">
      <c r="A567"/>
    </row>
    <row r="568" spans="1:1" x14ac:dyDescent="0.3">
      <c r="A568"/>
    </row>
    <row r="569" spans="1:1" x14ac:dyDescent="0.3">
      <c r="A569"/>
    </row>
    <row r="570" spans="1:1" x14ac:dyDescent="0.3">
      <c r="A570"/>
    </row>
    <row r="571" spans="1:1" x14ac:dyDescent="0.3">
      <c r="A571"/>
    </row>
    <row r="572" spans="1:1" x14ac:dyDescent="0.3">
      <c r="A572"/>
    </row>
    <row r="573" spans="1:1" x14ac:dyDescent="0.3">
      <c r="A573"/>
    </row>
    <row r="574" spans="1:1" x14ac:dyDescent="0.3">
      <c r="A574"/>
    </row>
    <row r="575" spans="1:1" x14ac:dyDescent="0.3">
      <c r="A575"/>
    </row>
    <row r="576" spans="1:1" x14ac:dyDescent="0.3">
      <c r="A576"/>
    </row>
    <row r="577" spans="1:1" x14ac:dyDescent="0.3">
      <c r="A577"/>
    </row>
    <row r="578" spans="1:1" x14ac:dyDescent="0.3">
      <c r="A578"/>
    </row>
    <row r="579" spans="1:1" x14ac:dyDescent="0.3">
      <c r="A579"/>
    </row>
    <row r="580" spans="1:1" x14ac:dyDescent="0.3">
      <c r="A580"/>
    </row>
    <row r="581" spans="1:1" x14ac:dyDescent="0.3">
      <c r="A581"/>
    </row>
    <row r="582" spans="1:1" x14ac:dyDescent="0.3">
      <c r="A582"/>
    </row>
    <row r="583" spans="1:1" x14ac:dyDescent="0.3">
      <c r="A583"/>
    </row>
    <row r="584" spans="1:1" x14ac:dyDescent="0.3">
      <c r="A584"/>
    </row>
    <row r="585" spans="1:1" x14ac:dyDescent="0.3">
      <c r="A585"/>
    </row>
    <row r="586" spans="1:1" x14ac:dyDescent="0.3">
      <c r="A586"/>
    </row>
    <row r="587" spans="1:1" x14ac:dyDescent="0.3">
      <c r="A587"/>
    </row>
    <row r="588" spans="1:1" x14ac:dyDescent="0.3">
      <c r="A588"/>
    </row>
    <row r="589" spans="1:1" x14ac:dyDescent="0.3">
      <c r="A589"/>
    </row>
    <row r="590" spans="1:1" x14ac:dyDescent="0.3">
      <c r="A590"/>
    </row>
    <row r="591" spans="1:1" x14ac:dyDescent="0.3">
      <c r="A591"/>
    </row>
    <row r="592" spans="1:1" x14ac:dyDescent="0.3">
      <c r="A592"/>
    </row>
    <row r="593" spans="1:1" x14ac:dyDescent="0.3">
      <c r="A593"/>
    </row>
    <row r="594" spans="1:1" x14ac:dyDescent="0.3">
      <c r="A594"/>
    </row>
    <row r="595" spans="1:1" x14ac:dyDescent="0.3">
      <c r="A595"/>
    </row>
    <row r="596" spans="1:1" x14ac:dyDescent="0.3">
      <c r="A596"/>
    </row>
    <row r="597" spans="1:1" x14ac:dyDescent="0.3">
      <c r="A597"/>
    </row>
    <row r="598" spans="1:1" x14ac:dyDescent="0.3">
      <c r="A598"/>
    </row>
    <row r="599" spans="1:1" x14ac:dyDescent="0.3">
      <c r="A599"/>
    </row>
    <row r="600" spans="1:1" x14ac:dyDescent="0.3">
      <c r="A600"/>
    </row>
    <row r="601" spans="1:1" x14ac:dyDescent="0.3">
      <c r="A601"/>
    </row>
    <row r="602" spans="1:1" x14ac:dyDescent="0.3">
      <c r="A602"/>
    </row>
    <row r="603" spans="1:1" x14ac:dyDescent="0.3">
      <c r="A603"/>
    </row>
    <row r="604" spans="1:1" x14ac:dyDescent="0.3">
      <c r="A604"/>
    </row>
    <row r="605" spans="1:1" x14ac:dyDescent="0.3">
      <c r="A605"/>
    </row>
    <row r="606" spans="1:1" x14ac:dyDescent="0.3">
      <c r="A606"/>
    </row>
    <row r="607" spans="1:1" x14ac:dyDescent="0.3">
      <c r="A607"/>
    </row>
    <row r="608" spans="1:1" x14ac:dyDescent="0.3">
      <c r="A608"/>
    </row>
    <row r="609" spans="1:1" x14ac:dyDescent="0.3">
      <c r="A609"/>
    </row>
    <row r="610" spans="1:1" x14ac:dyDescent="0.3">
      <c r="A610"/>
    </row>
    <row r="611" spans="1:1" x14ac:dyDescent="0.3">
      <c r="A611"/>
    </row>
    <row r="612" spans="1:1" x14ac:dyDescent="0.3">
      <c r="A612"/>
    </row>
    <row r="613" spans="1:1" x14ac:dyDescent="0.3">
      <c r="A613"/>
    </row>
    <row r="614" spans="1:1" x14ac:dyDescent="0.3">
      <c r="A614"/>
    </row>
    <row r="615" spans="1:1" x14ac:dyDescent="0.3">
      <c r="A615"/>
    </row>
    <row r="616" spans="1:1" x14ac:dyDescent="0.3">
      <c r="A616"/>
    </row>
    <row r="617" spans="1:1" x14ac:dyDescent="0.3">
      <c r="A617"/>
    </row>
    <row r="618" spans="1:1" x14ac:dyDescent="0.3">
      <c r="A618"/>
    </row>
    <row r="619" spans="1:1" x14ac:dyDescent="0.3">
      <c r="A619"/>
    </row>
    <row r="620" spans="1:1" x14ac:dyDescent="0.3">
      <c r="A620"/>
    </row>
    <row r="621" spans="1:1" x14ac:dyDescent="0.3">
      <c r="A621"/>
    </row>
    <row r="622" spans="1:1" x14ac:dyDescent="0.3">
      <c r="A622"/>
    </row>
    <row r="623" spans="1:1" x14ac:dyDescent="0.3">
      <c r="A623"/>
    </row>
    <row r="624" spans="1:1" x14ac:dyDescent="0.3">
      <c r="A624"/>
    </row>
    <row r="625" spans="1:1" x14ac:dyDescent="0.3">
      <c r="A625"/>
    </row>
    <row r="626" spans="1:1" x14ac:dyDescent="0.3">
      <c r="A626"/>
    </row>
    <row r="627" spans="1:1" x14ac:dyDescent="0.3">
      <c r="A627"/>
    </row>
    <row r="628" spans="1:1" x14ac:dyDescent="0.3">
      <c r="A628"/>
    </row>
    <row r="629" spans="1:1" x14ac:dyDescent="0.3">
      <c r="A629"/>
    </row>
    <row r="630" spans="1:1" x14ac:dyDescent="0.3">
      <c r="A630"/>
    </row>
    <row r="631" spans="1:1" x14ac:dyDescent="0.3">
      <c r="A631"/>
    </row>
    <row r="632" spans="1:1" x14ac:dyDescent="0.3">
      <c r="A632"/>
    </row>
    <row r="633" spans="1:1" x14ac:dyDescent="0.3">
      <c r="A633"/>
    </row>
    <row r="634" spans="1:1" x14ac:dyDescent="0.3">
      <c r="A634"/>
    </row>
    <row r="635" spans="1:1" x14ac:dyDescent="0.3">
      <c r="A635"/>
    </row>
    <row r="636" spans="1:1" x14ac:dyDescent="0.3">
      <c r="A636"/>
    </row>
    <row r="637" spans="1:1" x14ac:dyDescent="0.3">
      <c r="A637"/>
    </row>
    <row r="638" spans="1:1" x14ac:dyDescent="0.3">
      <c r="A638"/>
    </row>
    <row r="639" spans="1:1" x14ac:dyDescent="0.3">
      <c r="A639"/>
    </row>
    <row r="640" spans="1:1" x14ac:dyDescent="0.3">
      <c r="A640"/>
    </row>
    <row r="641" spans="1:1" x14ac:dyDescent="0.3">
      <c r="A641"/>
    </row>
    <row r="642" spans="1:1" x14ac:dyDescent="0.3">
      <c r="A642"/>
    </row>
    <row r="643" spans="1:1" x14ac:dyDescent="0.3">
      <c r="A643"/>
    </row>
    <row r="644" spans="1:1" x14ac:dyDescent="0.3">
      <c r="A644"/>
    </row>
    <row r="645" spans="1:1" x14ac:dyDescent="0.3">
      <c r="A645"/>
    </row>
    <row r="646" spans="1:1" x14ac:dyDescent="0.3">
      <c r="A646"/>
    </row>
    <row r="647" spans="1:1" x14ac:dyDescent="0.3">
      <c r="A647"/>
    </row>
    <row r="648" spans="1:1" x14ac:dyDescent="0.3">
      <c r="A648"/>
    </row>
    <row r="649" spans="1:1" x14ac:dyDescent="0.3">
      <c r="A649"/>
    </row>
    <row r="650" spans="1:1" x14ac:dyDescent="0.3">
      <c r="A650"/>
    </row>
    <row r="651" spans="1:1" x14ac:dyDescent="0.3">
      <c r="A651"/>
    </row>
    <row r="652" spans="1:1" x14ac:dyDescent="0.3">
      <c r="A652"/>
    </row>
    <row r="653" spans="1:1" x14ac:dyDescent="0.3">
      <c r="A653"/>
    </row>
    <row r="654" spans="1:1" x14ac:dyDescent="0.3">
      <c r="A65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3:E18"/>
  <sheetViews>
    <sheetView workbookViewId="0">
      <selection activeCell="I9" sqref="I9"/>
    </sheetView>
  </sheetViews>
  <sheetFormatPr defaultRowHeight="14.4" x14ac:dyDescent="0.3"/>
  <cols>
    <col min="1" max="1" width="12.5546875" style="1" bestFit="1" customWidth="1"/>
    <col min="2" max="2" width="14.6640625" style="4" bestFit="1" customWidth="1"/>
    <col min="3" max="3" width="12.109375" style="4" bestFit="1" customWidth="1"/>
    <col min="4" max="4" width="20.5546875" bestFit="1" customWidth="1"/>
    <col min="5" max="5" width="18.6640625" bestFit="1" customWidth="1"/>
  </cols>
  <sheetData>
    <row r="3" spans="1:5" x14ac:dyDescent="0.3">
      <c r="A3" s="16" t="s">
        <v>285</v>
      </c>
      <c r="B3" s="4" t="s">
        <v>288</v>
      </c>
      <c r="C3" s="4" t="s">
        <v>290</v>
      </c>
      <c r="D3" s="1" t="s">
        <v>300</v>
      </c>
      <c r="E3" s="1" t="s">
        <v>289</v>
      </c>
    </row>
    <row r="4" spans="1:5" x14ac:dyDescent="0.3">
      <c r="A4" s="14">
        <v>44074</v>
      </c>
      <c r="B4" s="4">
        <v>1788.0499999999997</v>
      </c>
      <c r="C4" s="4">
        <v>450</v>
      </c>
      <c r="D4" s="4">
        <v>11</v>
      </c>
      <c r="E4" s="4">
        <v>85.76</v>
      </c>
    </row>
    <row r="5" spans="1:5" x14ac:dyDescent="0.3">
      <c r="A5" s="14">
        <v>44075</v>
      </c>
      <c r="B5" s="4">
        <v>1929.74</v>
      </c>
      <c r="C5" s="4">
        <v>459</v>
      </c>
      <c r="D5" s="4">
        <v>11</v>
      </c>
      <c r="E5" s="4">
        <v>109.13</v>
      </c>
    </row>
    <row r="6" spans="1:5" x14ac:dyDescent="0.3">
      <c r="A6" s="14">
        <v>44076</v>
      </c>
      <c r="B6" s="4">
        <v>1673.5</v>
      </c>
      <c r="C6" s="4">
        <v>442</v>
      </c>
      <c r="D6" s="4">
        <v>10</v>
      </c>
      <c r="E6" s="4">
        <v>108.37000000000002</v>
      </c>
    </row>
    <row r="7" spans="1:5" x14ac:dyDescent="0.3">
      <c r="A7" s="14">
        <v>44077</v>
      </c>
      <c r="B7" s="4">
        <v>1495</v>
      </c>
      <c r="C7" s="4">
        <v>439</v>
      </c>
      <c r="D7" s="4">
        <v>9</v>
      </c>
      <c r="E7" s="4">
        <v>159.88</v>
      </c>
    </row>
    <row r="8" spans="1:5" x14ac:dyDescent="0.3">
      <c r="A8" s="14">
        <v>44078</v>
      </c>
      <c r="B8" s="4">
        <v>1023.7</v>
      </c>
      <c r="C8" s="4">
        <v>422</v>
      </c>
      <c r="D8" s="4">
        <v>6</v>
      </c>
      <c r="E8" s="4">
        <v>94.68</v>
      </c>
    </row>
    <row r="9" spans="1:5" x14ac:dyDescent="0.3">
      <c r="A9" s="14">
        <v>44079</v>
      </c>
      <c r="B9" s="4">
        <v>1293.1999999999998</v>
      </c>
      <c r="C9" s="4">
        <v>451</v>
      </c>
      <c r="D9" s="4">
        <v>8</v>
      </c>
      <c r="E9" s="4">
        <v>116.27000000000001</v>
      </c>
    </row>
    <row r="10" spans="1:5" x14ac:dyDescent="0.3">
      <c r="A10" s="14">
        <v>44080</v>
      </c>
      <c r="B10" s="4">
        <v>1623.6999999999998</v>
      </c>
      <c r="C10" s="4">
        <v>490</v>
      </c>
      <c r="D10" s="4">
        <v>9</v>
      </c>
      <c r="E10" s="4">
        <v>137.09</v>
      </c>
    </row>
    <row r="11" spans="1:5" x14ac:dyDescent="0.3">
      <c r="A11" s="14">
        <v>44081</v>
      </c>
      <c r="B11" s="4">
        <v>1914.1999999999998</v>
      </c>
      <c r="C11" s="4">
        <v>491</v>
      </c>
      <c r="D11" s="4">
        <v>11</v>
      </c>
      <c r="E11" s="4">
        <v>145.95000000000002</v>
      </c>
    </row>
    <row r="12" spans="1:5" x14ac:dyDescent="0.3">
      <c r="A12" s="14">
        <v>44082</v>
      </c>
      <c r="B12" s="4">
        <v>1975.25</v>
      </c>
      <c r="C12" s="4">
        <v>448</v>
      </c>
      <c r="D12" s="4">
        <v>11</v>
      </c>
      <c r="E12" s="4">
        <v>153.91</v>
      </c>
    </row>
    <row r="13" spans="1:5" x14ac:dyDescent="0.3">
      <c r="A13" s="14">
        <v>44083</v>
      </c>
      <c r="B13" s="4">
        <v>1547.34</v>
      </c>
      <c r="C13" s="4">
        <v>514</v>
      </c>
      <c r="D13" s="4">
        <v>11</v>
      </c>
      <c r="E13" s="4">
        <v>71.929999999999993</v>
      </c>
    </row>
    <row r="14" spans="1:5" x14ac:dyDescent="0.3">
      <c r="A14" s="14">
        <v>44084</v>
      </c>
      <c r="B14" s="4">
        <v>1872.13</v>
      </c>
      <c r="C14" s="4">
        <v>474</v>
      </c>
      <c r="D14" s="4">
        <v>9</v>
      </c>
      <c r="E14" s="4">
        <v>228.17</v>
      </c>
    </row>
    <row r="15" spans="1:5" x14ac:dyDescent="0.3">
      <c r="A15" s="14">
        <v>44085</v>
      </c>
      <c r="B15" s="4">
        <v>1222.25</v>
      </c>
      <c r="C15" s="4">
        <v>421</v>
      </c>
      <c r="D15" s="4">
        <v>6</v>
      </c>
      <c r="E15" s="4">
        <v>134.54000000000002</v>
      </c>
    </row>
    <row r="16" spans="1:5" x14ac:dyDescent="0.3">
      <c r="A16" s="14">
        <v>44086</v>
      </c>
      <c r="B16" s="4">
        <v>976.90000000000009</v>
      </c>
      <c r="C16" s="4">
        <v>407</v>
      </c>
      <c r="D16" s="4">
        <v>4</v>
      </c>
      <c r="E16" s="4">
        <v>53.18</v>
      </c>
    </row>
    <row r="17" spans="1:5" x14ac:dyDescent="0.3">
      <c r="A17" s="14">
        <v>44087</v>
      </c>
      <c r="B17" s="4">
        <v>1923.4</v>
      </c>
      <c r="C17" s="4">
        <v>447</v>
      </c>
      <c r="D17" s="4">
        <v>12</v>
      </c>
      <c r="E17" s="4">
        <v>165.88</v>
      </c>
    </row>
    <row r="18" spans="1:5" x14ac:dyDescent="0.3">
      <c r="A18" s="14" t="s">
        <v>287</v>
      </c>
      <c r="B18" s="4">
        <v>22258.360000000004</v>
      </c>
      <c r="C18" s="4">
        <v>6355</v>
      </c>
      <c r="D18" s="4">
        <v>128</v>
      </c>
      <c r="E18" s="4">
        <v>1764.7400000000002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AB580"/>
  <sheetViews>
    <sheetView topLeftCell="A43" workbookViewId="0">
      <selection activeCell="B20" sqref="B20"/>
    </sheetView>
  </sheetViews>
  <sheetFormatPr defaultRowHeight="14.4" x14ac:dyDescent="0.3"/>
  <cols>
    <col min="1" max="1" width="16.6640625" style="1" bestFit="1" customWidth="1"/>
    <col min="2" max="2" width="64" bestFit="1" customWidth="1"/>
    <col min="7" max="7" width="14.33203125" customWidth="1"/>
    <col min="14" max="14" width="16.44140625" customWidth="1"/>
    <col min="15" max="15" width="15.5546875" customWidth="1"/>
  </cols>
  <sheetData>
    <row r="1" spans="1:28" x14ac:dyDescent="0.3">
      <c r="A1" s="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row>
    <row r="2" spans="1:28" x14ac:dyDescent="0.3">
      <c r="A2" s="1">
        <v>44074</v>
      </c>
      <c r="B2" t="s">
        <v>40</v>
      </c>
      <c r="C2">
        <v>47</v>
      </c>
      <c r="D2">
        <v>189</v>
      </c>
      <c r="E2">
        <v>0</v>
      </c>
      <c r="F2">
        <v>189</v>
      </c>
      <c r="G2">
        <v>1</v>
      </c>
      <c r="H2">
        <v>0</v>
      </c>
      <c r="I2">
        <v>37.799999999999997</v>
      </c>
      <c r="J2">
        <v>2.13</v>
      </c>
      <c r="K2">
        <v>80.430000000000007</v>
      </c>
      <c r="L2">
        <v>189</v>
      </c>
      <c r="M2">
        <v>1088116</v>
      </c>
      <c r="N2" t="s">
        <v>41</v>
      </c>
      <c r="O2" t="s">
        <v>42</v>
      </c>
      <c r="P2">
        <v>1</v>
      </c>
      <c r="Q2">
        <v>0</v>
      </c>
      <c r="R2">
        <v>0</v>
      </c>
      <c r="S2">
        <v>0</v>
      </c>
      <c r="T2">
        <v>0</v>
      </c>
      <c r="U2">
        <v>0</v>
      </c>
      <c r="V2">
        <v>37.799999999999997</v>
      </c>
      <c r="W2">
        <v>0</v>
      </c>
      <c r="X2">
        <v>0</v>
      </c>
      <c r="Y2">
        <v>0</v>
      </c>
      <c r="Z2">
        <v>0</v>
      </c>
      <c r="AA2">
        <v>0</v>
      </c>
      <c r="AB2">
        <v>7.56</v>
      </c>
    </row>
    <row r="3" spans="1:28" x14ac:dyDescent="0.3">
      <c r="A3" s="1">
        <v>44074</v>
      </c>
      <c r="B3" t="s">
        <v>49</v>
      </c>
      <c r="C3">
        <v>54</v>
      </c>
      <c r="D3">
        <v>349.52</v>
      </c>
      <c r="E3">
        <v>0</v>
      </c>
      <c r="F3">
        <v>349.52</v>
      </c>
      <c r="G3">
        <v>2</v>
      </c>
      <c r="H3">
        <v>0</v>
      </c>
      <c r="I3">
        <v>10.49</v>
      </c>
      <c r="J3">
        <v>3.7</v>
      </c>
      <c r="K3">
        <v>19.43</v>
      </c>
      <c r="L3">
        <v>174.76</v>
      </c>
      <c r="M3">
        <v>725033</v>
      </c>
      <c r="N3" t="s">
        <v>50</v>
      </c>
      <c r="O3" t="s">
        <v>51</v>
      </c>
      <c r="P3">
        <v>2</v>
      </c>
      <c r="Q3">
        <v>0</v>
      </c>
      <c r="R3">
        <v>0</v>
      </c>
      <c r="S3">
        <v>0</v>
      </c>
      <c r="T3">
        <v>0</v>
      </c>
      <c r="U3">
        <v>0</v>
      </c>
      <c r="V3">
        <v>10.49</v>
      </c>
      <c r="W3">
        <v>0</v>
      </c>
      <c r="X3">
        <v>0</v>
      </c>
      <c r="Y3">
        <v>0</v>
      </c>
      <c r="Z3">
        <v>0</v>
      </c>
      <c r="AA3">
        <v>0</v>
      </c>
      <c r="AB3">
        <v>2.1</v>
      </c>
    </row>
    <row r="4" spans="1:28" x14ac:dyDescent="0.3">
      <c r="A4" s="1">
        <v>44074</v>
      </c>
      <c r="B4" t="s">
        <v>195</v>
      </c>
      <c r="C4">
        <v>4</v>
      </c>
      <c r="D4">
        <v>339.15</v>
      </c>
      <c r="E4">
        <v>0</v>
      </c>
      <c r="F4">
        <v>339.15</v>
      </c>
      <c r="G4">
        <v>2</v>
      </c>
      <c r="H4">
        <v>0</v>
      </c>
      <c r="I4">
        <v>10.17</v>
      </c>
      <c r="J4">
        <v>50</v>
      </c>
      <c r="K4">
        <v>254.25</v>
      </c>
      <c r="L4">
        <v>169.58</v>
      </c>
      <c r="M4">
        <v>2182271</v>
      </c>
      <c r="N4" t="s">
        <v>196</v>
      </c>
      <c r="O4" t="s">
        <v>197</v>
      </c>
      <c r="P4">
        <v>2</v>
      </c>
      <c r="Q4">
        <v>0</v>
      </c>
      <c r="R4">
        <v>0</v>
      </c>
      <c r="S4">
        <v>0</v>
      </c>
      <c r="T4">
        <v>0</v>
      </c>
      <c r="U4">
        <v>0</v>
      </c>
      <c r="V4">
        <v>10.17</v>
      </c>
      <c r="W4">
        <v>0</v>
      </c>
      <c r="X4">
        <v>0</v>
      </c>
      <c r="Y4">
        <v>0</v>
      </c>
      <c r="Z4">
        <v>0</v>
      </c>
      <c r="AA4">
        <v>0</v>
      </c>
      <c r="AB4">
        <v>2.04</v>
      </c>
    </row>
    <row r="5" spans="1:28" x14ac:dyDescent="0.3">
      <c r="A5" s="1">
        <v>44074</v>
      </c>
      <c r="B5" t="s">
        <v>93</v>
      </c>
      <c r="C5">
        <v>8</v>
      </c>
      <c r="D5">
        <v>236.16</v>
      </c>
      <c r="E5">
        <v>0</v>
      </c>
      <c r="F5">
        <v>236.16</v>
      </c>
      <c r="G5">
        <v>1</v>
      </c>
      <c r="H5">
        <v>0</v>
      </c>
      <c r="I5">
        <v>7.08</v>
      </c>
      <c r="J5">
        <v>12.5</v>
      </c>
      <c r="K5">
        <v>88.5</v>
      </c>
      <c r="L5">
        <v>236.16</v>
      </c>
      <c r="M5">
        <v>1238556</v>
      </c>
      <c r="N5" t="s">
        <v>94</v>
      </c>
      <c r="O5" t="s">
        <v>95</v>
      </c>
      <c r="P5">
        <v>1</v>
      </c>
      <c r="Q5">
        <v>0</v>
      </c>
      <c r="R5">
        <v>0</v>
      </c>
      <c r="S5">
        <v>0</v>
      </c>
      <c r="T5">
        <v>0</v>
      </c>
      <c r="U5">
        <v>0</v>
      </c>
      <c r="V5">
        <v>7.08</v>
      </c>
      <c r="W5">
        <v>0</v>
      </c>
      <c r="X5">
        <v>0</v>
      </c>
      <c r="Y5">
        <v>0</v>
      </c>
      <c r="Z5">
        <v>0</v>
      </c>
      <c r="AA5">
        <v>0</v>
      </c>
      <c r="AB5">
        <v>1.42</v>
      </c>
    </row>
    <row r="6" spans="1:28" x14ac:dyDescent="0.3">
      <c r="A6" s="1">
        <v>44074</v>
      </c>
      <c r="B6" t="s">
        <v>96</v>
      </c>
      <c r="C6">
        <v>3</v>
      </c>
      <c r="D6">
        <v>176.12</v>
      </c>
      <c r="E6">
        <v>0</v>
      </c>
      <c r="F6">
        <v>176.12</v>
      </c>
      <c r="G6">
        <v>1</v>
      </c>
      <c r="H6">
        <v>0</v>
      </c>
      <c r="I6">
        <v>5.28</v>
      </c>
      <c r="J6">
        <v>33.33</v>
      </c>
      <c r="K6">
        <v>176</v>
      </c>
      <c r="L6">
        <v>176.12</v>
      </c>
      <c r="M6">
        <v>1372745</v>
      </c>
      <c r="N6" t="s">
        <v>97</v>
      </c>
      <c r="O6" t="s">
        <v>98</v>
      </c>
      <c r="P6">
        <v>1</v>
      </c>
      <c r="Q6">
        <v>0</v>
      </c>
      <c r="R6">
        <v>0</v>
      </c>
      <c r="S6">
        <v>0</v>
      </c>
      <c r="T6">
        <v>0</v>
      </c>
      <c r="U6">
        <v>0</v>
      </c>
      <c r="V6">
        <v>5.28</v>
      </c>
      <c r="W6">
        <v>0</v>
      </c>
      <c r="X6">
        <v>0</v>
      </c>
      <c r="Y6">
        <v>0</v>
      </c>
      <c r="Z6">
        <v>0</v>
      </c>
      <c r="AA6">
        <v>0</v>
      </c>
      <c r="AB6">
        <v>1.06</v>
      </c>
    </row>
    <row r="7" spans="1:28" x14ac:dyDescent="0.3">
      <c r="A7" s="1">
        <v>44074</v>
      </c>
      <c r="B7" t="s">
        <v>37</v>
      </c>
      <c r="C7">
        <v>28</v>
      </c>
      <c r="D7">
        <v>165.12</v>
      </c>
      <c r="E7">
        <v>0</v>
      </c>
      <c r="F7">
        <v>165.12</v>
      </c>
      <c r="G7">
        <v>1</v>
      </c>
      <c r="H7">
        <v>0</v>
      </c>
      <c r="I7">
        <v>4.95</v>
      </c>
      <c r="J7">
        <v>3.57</v>
      </c>
      <c r="K7">
        <v>17.68</v>
      </c>
      <c r="L7">
        <v>165.12</v>
      </c>
      <c r="M7">
        <v>201285</v>
      </c>
      <c r="N7" t="s">
        <v>38</v>
      </c>
      <c r="O7" t="s">
        <v>39</v>
      </c>
      <c r="P7">
        <v>1</v>
      </c>
      <c r="Q7">
        <v>0</v>
      </c>
      <c r="R7">
        <v>0</v>
      </c>
      <c r="S7">
        <v>0</v>
      </c>
      <c r="T7">
        <v>0</v>
      </c>
      <c r="U7">
        <v>0</v>
      </c>
      <c r="V7">
        <v>4.95</v>
      </c>
      <c r="W7">
        <v>0</v>
      </c>
      <c r="X7">
        <v>0</v>
      </c>
      <c r="Y7">
        <v>0</v>
      </c>
      <c r="Z7">
        <v>0</v>
      </c>
      <c r="AA7">
        <v>0</v>
      </c>
      <c r="AB7">
        <v>0.99</v>
      </c>
    </row>
    <row r="8" spans="1:28" x14ac:dyDescent="0.3">
      <c r="A8" s="1">
        <v>44074</v>
      </c>
      <c r="B8" t="s">
        <v>46</v>
      </c>
      <c r="C8">
        <v>7</v>
      </c>
      <c r="D8">
        <v>157.68</v>
      </c>
      <c r="E8">
        <v>0</v>
      </c>
      <c r="F8">
        <v>157.68</v>
      </c>
      <c r="G8">
        <v>1</v>
      </c>
      <c r="H8">
        <v>0</v>
      </c>
      <c r="I8">
        <v>4.7300000000000004</v>
      </c>
      <c r="J8">
        <v>14.29</v>
      </c>
      <c r="K8">
        <v>67.569999999999993</v>
      </c>
      <c r="L8">
        <v>157.68</v>
      </c>
      <c r="M8">
        <v>445875</v>
      </c>
      <c r="N8" t="s">
        <v>47</v>
      </c>
      <c r="O8" t="s">
        <v>48</v>
      </c>
      <c r="P8">
        <v>1</v>
      </c>
      <c r="Q8">
        <v>0</v>
      </c>
      <c r="R8">
        <v>0</v>
      </c>
      <c r="S8">
        <v>0</v>
      </c>
      <c r="T8">
        <v>0</v>
      </c>
      <c r="U8">
        <v>0</v>
      </c>
      <c r="V8">
        <v>4.7300000000000004</v>
      </c>
      <c r="W8">
        <v>0</v>
      </c>
      <c r="X8">
        <v>0</v>
      </c>
      <c r="Y8">
        <v>0</v>
      </c>
      <c r="Z8">
        <v>0</v>
      </c>
      <c r="AA8">
        <v>0</v>
      </c>
      <c r="AB8">
        <v>0.95</v>
      </c>
    </row>
    <row r="9" spans="1:28" x14ac:dyDescent="0.3">
      <c r="A9" s="1">
        <v>44074</v>
      </c>
      <c r="B9" t="s">
        <v>63</v>
      </c>
      <c r="C9">
        <v>8</v>
      </c>
      <c r="D9">
        <v>139.30000000000001</v>
      </c>
      <c r="E9">
        <v>0</v>
      </c>
      <c r="F9">
        <v>139.30000000000001</v>
      </c>
      <c r="G9">
        <v>1</v>
      </c>
      <c r="H9">
        <v>0</v>
      </c>
      <c r="I9">
        <v>4.18</v>
      </c>
      <c r="J9">
        <v>12.5</v>
      </c>
      <c r="K9">
        <v>52.25</v>
      </c>
      <c r="L9">
        <v>139.30000000000001</v>
      </c>
      <c r="M9">
        <v>140995</v>
      </c>
      <c r="N9" t="s">
        <v>64</v>
      </c>
      <c r="O9" t="s">
        <v>65</v>
      </c>
      <c r="P9">
        <v>1</v>
      </c>
      <c r="Q9">
        <v>0</v>
      </c>
      <c r="R9">
        <v>0</v>
      </c>
      <c r="S9">
        <v>0</v>
      </c>
      <c r="T9">
        <v>0</v>
      </c>
      <c r="U9">
        <v>0</v>
      </c>
      <c r="V9">
        <v>4.18</v>
      </c>
      <c r="W9">
        <v>0</v>
      </c>
      <c r="X9">
        <v>0</v>
      </c>
      <c r="Y9">
        <v>0</v>
      </c>
      <c r="Z9">
        <v>0</v>
      </c>
      <c r="AA9">
        <v>0</v>
      </c>
      <c r="AB9">
        <v>0.84</v>
      </c>
    </row>
    <row r="10" spans="1:28" x14ac:dyDescent="0.3">
      <c r="A10" s="1">
        <v>44074</v>
      </c>
      <c r="B10" t="s">
        <v>90</v>
      </c>
      <c r="C10">
        <v>2</v>
      </c>
      <c r="D10">
        <v>36</v>
      </c>
      <c r="E10">
        <v>0</v>
      </c>
      <c r="F10">
        <v>36</v>
      </c>
      <c r="G10">
        <v>1</v>
      </c>
      <c r="H10">
        <v>0</v>
      </c>
      <c r="I10">
        <v>1.08</v>
      </c>
      <c r="J10">
        <v>50</v>
      </c>
      <c r="K10">
        <v>54</v>
      </c>
      <c r="L10">
        <v>36</v>
      </c>
      <c r="M10">
        <v>136482</v>
      </c>
      <c r="N10" t="s">
        <v>91</v>
      </c>
      <c r="O10" t="s">
        <v>92</v>
      </c>
      <c r="P10">
        <v>1</v>
      </c>
      <c r="Q10">
        <v>0</v>
      </c>
      <c r="R10">
        <v>0</v>
      </c>
      <c r="S10">
        <v>0</v>
      </c>
      <c r="T10">
        <v>0</v>
      </c>
      <c r="U10">
        <v>0</v>
      </c>
      <c r="V10">
        <v>1.08</v>
      </c>
      <c r="W10">
        <v>0</v>
      </c>
      <c r="X10">
        <v>0</v>
      </c>
      <c r="Y10">
        <v>0</v>
      </c>
      <c r="Z10">
        <v>0</v>
      </c>
      <c r="AA10">
        <v>0</v>
      </c>
      <c r="AB10">
        <v>0.22</v>
      </c>
    </row>
    <row r="11" spans="1:28" x14ac:dyDescent="0.3">
      <c r="A11" s="1">
        <v>44074</v>
      </c>
      <c r="B11" t="s">
        <v>28</v>
      </c>
      <c r="C11">
        <v>120</v>
      </c>
      <c r="D11">
        <v>0</v>
      </c>
      <c r="E11">
        <v>0</v>
      </c>
      <c r="F11">
        <v>0</v>
      </c>
      <c r="G11">
        <v>0</v>
      </c>
      <c r="H11">
        <v>0</v>
      </c>
      <c r="I11">
        <v>0</v>
      </c>
      <c r="J11">
        <v>0</v>
      </c>
      <c r="K11">
        <v>0</v>
      </c>
      <c r="L11">
        <v>0</v>
      </c>
      <c r="M11">
        <v>314743</v>
      </c>
      <c r="N11" t="s">
        <v>29</v>
      </c>
      <c r="O11" t="s">
        <v>30</v>
      </c>
      <c r="P11">
        <v>0</v>
      </c>
      <c r="Q11">
        <v>0</v>
      </c>
      <c r="R11">
        <v>0</v>
      </c>
      <c r="S11">
        <v>0</v>
      </c>
      <c r="T11">
        <v>0</v>
      </c>
      <c r="U11">
        <v>0</v>
      </c>
      <c r="V11">
        <v>0</v>
      </c>
      <c r="W11">
        <v>0</v>
      </c>
      <c r="X11">
        <v>0</v>
      </c>
      <c r="Y11">
        <v>0</v>
      </c>
      <c r="Z11">
        <v>0</v>
      </c>
      <c r="AA11">
        <v>0</v>
      </c>
      <c r="AB11">
        <v>0</v>
      </c>
    </row>
    <row r="12" spans="1:28" x14ac:dyDescent="0.3">
      <c r="A12" s="1">
        <v>44074</v>
      </c>
      <c r="B12" t="s">
        <v>52</v>
      </c>
      <c r="C12">
        <v>54</v>
      </c>
      <c r="D12">
        <v>0</v>
      </c>
      <c r="E12">
        <v>0</v>
      </c>
      <c r="F12">
        <v>0</v>
      </c>
      <c r="G12">
        <v>0</v>
      </c>
      <c r="H12">
        <v>0</v>
      </c>
      <c r="I12">
        <v>0</v>
      </c>
      <c r="J12">
        <v>0</v>
      </c>
      <c r="K12">
        <v>0</v>
      </c>
      <c r="L12">
        <v>0</v>
      </c>
      <c r="M12">
        <v>1584217</v>
      </c>
      <c r="N12" t="s">
        <v>53</v>
      </c>
      <c r="O12" t="s">
        <v>54</v>
      </c>
      <c r="P12">
        <v>0</v>
      </c>
      <c r="Q12">
        <v>0</v>
      </c>
      <c r="R12">
        <v>0</v>
      </c>
      <c r="S12">
        <v>0</v>
      </c>
      <c r="T12">
        <v>0</v>
      </c>
      <c r="U12">
        <v>0</v>
      </c>
      <c r="V12">
        <v>0</v>
      </c>
      <c r="W12">
        <v>0</v>
      </c>
      <c r="X12">
        <v>0</v>
      </c>
      <c r="Y12">
        <v>0</v>
      </c>
      <c r="Z12">
        <v>0</v>
      </c>
      <c r="AA12">
        <v>0</v>
      </c>
      <c r="AB12">
        <v>0</v>
      </c>
    </row>
    <row r="13" spans="1:28" x14ac:dyDescent="0.3">
      <c r="A13" s="1">
        <v>44074</v>
      </c>
      <c r="B13" t="s">
        <v>55</v>
      </c>
      <c r="C13">
        <v>16</v>
      </c>
      <c r="D13">
        <v>0</v>
      </c>
      <c r="E13">
        <v>0</v>
      </c>
      <c r="F13">
        <v>0</v>
      </c>
      <c r="G13">
        <v>0</v>
      </c>
      <c r="H13">
        <v>0</v>
      </c>
      <c r="I13">
        <v>0</v>
      </c>
      <c r="J13">
        <v>0</v>
      </c>
      <c r="K13">
        <v>0</v>
      </c>
      <c r="L13">
        <v>0</v>
      </c>
      <c r="M13">
        <v>1773960</v>
      </c>
      <c r="N13" t="s">
        <v>35</v>
      </c>
      <c r="O13" t="s">
        <v>56</v>
      </c>
      <c r="P13">
        <v>0</v>
      </c>
      <c r="Q13">
        <v>0</v>
      </c>
      <c r="R13">
        <v>0</v>
      </c>
      <c r="S13">
        <v>0</v>
      </c>
      <c r="T13">
        <v>0</v>
      </c>
      <c r="U13">
        <v>0</v>
      </c>
      <c r="V13">
        <v>0</v>
      </c>
      <c r="W13">
        <v>0</v>
      </c>
      <c r="X13">
        <v>0</v>
      </c>
      <c r="Y13">
        <v>0</v>
      </c>
      <c r="Z13">
        <v>0</v>
      </c>
      <c r="AA13">
        <v>0</v>
      </c>
      <c r="AB13">
        <v>0</v>
      </c>
    </row>
    <row r="14" spans="1:28" x14ac:dyDescent="0.3">
      <c r="A14" s="1">
        <v>44074</v>
      </c>
      <c r="B14" t="s">
        <v>34</v>
      </c>
      <c r="C14">
        <v>14</v>
      </c>
      <c r="D14">
        <v>0</v>
      </c>
      <c r="E14">
        <v>0</v>
      </c>
      <c r="F14">
        <v>0</v>
      </c>
      <c r="G14">
        <v>0</v>
      </c>
      <c r="H14">
        <v>0</v>
      </c>
      <c r="I14">
        <v>0</v>
      </c>
      <c r="J14">
        <v>0</v>
      </c>
      <c r="K14">
        <v>0</v>
      </c>
      <c r="L14">
        <v>0</v>
      </c>
      <c r="M14">
        <v>2284878</v>
      </c>
      <c r="N14" t="s">
        <v>35</v>
      </c>
      <c r="O14" t="s">
        <v>36</v>
      </c>
      <c r="P14">
        <v>0</v>
      </c>
      <c r="Q14">
        <v>0</v>
      </c>
      <c r="R14">
        <v>0</v>
      </c>
      <c r="S14">
        <v>0</v>
      </c>
      <c r="T14">
        <v>0</v>
      </c>
      <c r="U14">
        <v>0</v>
      </c>
      <c r="V14">
        <v>0</v>
      </c>
      <c r="W14">
        <v>0</v>
      </c>
      <c r="X14">
        <v>0</v>
      </c>
      <c r="Y14">
        <v>0</v>
      </c>
      <c r="Z14">
        <v>0</v>
      </c>
      <c r="AA14">
        <v>0</v>
      </c>
      <c r="AB14">
        <v>0</v>
      </c>
    </row>
    <row r="15" spans="1:28" x14ac:dyDescent="0.3">
      <c r="A15" s="1">
        <v>44074</v>
      </c>
      <c r="B15" t="s">
        <v>57</v>
      </c>
      <c r="C15">
        <v>10</v>
      </c>
      <c r="D15">
        <v>0</v>
      </c>
      <c r="E15">
        <v>0</v>
      </c>
      <c r="F15">
        <v>0</v>
      </c>
      <c r="G15">
        <v>0</v>
      </c>
      <c r="H15">
        <v>0</v>
      </c>
      <c r="I15">
        <v>0</v>
      </c>
      <c r="J15">
        <v>0</v>
      </c>
      <c r="K15">
        <v>0</v>
      </c>
      <c r="L15">
        <v>0</v>
      </c>
      <c r="M15">
        <v>2053730</v>
      </c>
      <c r="N15" t="s">
        <v>58</v>
      </c>
      <c r="O15" t="s">
        <v>59</v>
      </c>
      <c r="P15">
        <v>0</v>
      </c>
      <c r="Q15">
        <v>0</v>
      </c>
      <c r="R15">
        <v>0</v>
      </c>
      <c r="S15">
        <v>0</v>
      </c>
      <c r="T15">
        <v>0</v>
      </c>
      <c r="U15">
        <v>0</v>
      </c>
      <c r="V15">
        <v>0</v>
      </c>
      <c r="W15">
        <v>0</v>
      </c>
      <c r="X15">
        <v>0</v>
      </c>
      <c r="Y15">
        <v>0</v>
      </c>
      <c r="Z15">
        <v>0</v>
      </c>
      <c r="AA15">
        <v>0</v>
      </c>
      <c r="AB15">
        <v>0</v>
      </c>
    </row>
    <row r="16" spans="1:28" x14ac:dyDescent="0.3">
      <c r="A16" s="1">
        <v>44074</v>
      </c>
      <c r="B16" t="s">
        <v>60</v>
      </c>
      <c r="C16">
        <v>9</v>
      </c>
      <c r="D16">
        <v>0</v>
      </c>
      <c r="E16">
        <v>0</v>
      </c>
      <c r="F16">
        <v>0</v>
      </c>
      <c r="G16">
        <v>0</v>
      </c>
      <c r="H16">
        <v>0</v>
      </c>
      <c r="I16">
        <v>0</v>
      </c>
      <c r="J16">
        <v>0</v>
      </c>
      <c r="K16">
        <v>0</v>
      </c>
      <c r="L16">
        <v>0</v>
      </c>
      <c r="M16">
        <v>748814</v>
      </c>
      <c r="N16" t="s">
        <v>61</v>
      </c>
      <c r="O16" t="s">
        <v>62</v>
      </c>
      <c r="P16">
        <v>0</v>
      </c>
      <c r="Q16">
        <v>0</v>
      </c>
      <c r="R16">
        <v>0</v>
      </c>
      <c r="S16">
        <v>0</v>
      </c>
      <c r="T16">
        <v>0</v>
      </c>
      <c r="U16">
        <v>0</v>
      </c>
      <c r="V16">
        <v>0</v>
      </c>
      <c r="W16">
        <v>0</v>
      </c>
      <c r="X16">
        <v>0</v>
      </c>
      <c r="Y16">
        <v>0</v>
      </c>
      <c r="Z16">
        <v>0</v>
      </c>
      <c r="AA16">
        <v>0</v>
      </c>
      <c r="AB16">
        <v>0</v>
      </c>
    </row>
    <row r="17" spans="1:28" x14ac:dyDescent="0.3">
      <c r="A17" s="1">
        <v>44074</v>
      </c>
      <c r="B17" t="s">
        <v>78</v>
      </c>
      <c r="C17">
        <v>9</v>
      </c>
      <c r="D17">
        <v>0</v>
      </c>
      <c r="E17">
        <v>0</v>
      </c>
      <c r="F17">
        <v>0</v>
      </c>
      <c r="G17">
        <v>0</v>
      </c>
      <c r="H17">
        <v>0</v>
      </c>
      <c r="I17">
        <v>0</v>
      </c>
      <c r="J17">
        <v>0</v>
      </c>
      <c r="K17">
        <v>0</v>
      </c>
      <c r="L17">
        <v>0</v>
      </c>
      <c r="M17">
        <v>1014069</v>
      </c>
      <c r="N17" t="s">
        <v>79</v>
      </c>
      <c r="O17" t="s">
        <v>80</v>
      </c>
      <c r="P17">
        <v>0</v>
      </c>
      <c r="Q17">
        <v>0</v>
      </c>
      <c r="R17">
        <v>0</v>
      </c>
      <c r="S17">
        <v>0</v>
      </c>
      <c r="T17">
        <v>0</v>
      </c>
      <c r="U17">
        <v>0</v>
      </c>
      <c r="V17">
        <v>0</v>
      </c>
      <c r="W17">
        <v>0</v>
      </c>
      <c r="X17">
        <v>0</v>
      </c>
      <c r="Y17">
        <v>0</v>
      </c>
      <c r="Z17">
        <v>0</v>
      </c>
      <c r="AA17">
        <v>0</v>
      </c>
      <c r="AB17">
        <v>0</v>
      </c>
    </row>
    <row r="18" spans="1:28" x14ac:dyDescent="0.3">
      <c r="A18" s="1">
        <v>44074</v>
      </c>
      <c r="B18" t="s">
        <v>43</v>
      </c>
      <c r="C18">
        <v>8</v>
      </c>
      <c r="D18">
        <v>0</v>
      </c>
      <c r="E18">
        <v>0</v>
      </c>
      <c r="F18">
        <v>0</v>
      </c>
      <c r="G18">
        <v>0</v>
      </c>
      <c r="H18">
        <v>0</v>
      </c>
      <c r="I18">
        <v>0</v>
      </c>
      <c r="J18">
        <v>0</v>
      </c>
      <c r="K18">
        <v>0</v>
      </c>
      <c r="L18">
        <v>0</v>
      </c>
      <c r="M18">
        <v>389818</v>
      </c>
      <c r="N18" t="s">
        <v>44</v>
      </c>
      <c r="O18" t="s">
        <v>45</v>
      </c>
      <c r="P18">
        <v>0</v>
      </c>
      <c r="Q18">
        <v>0</v>
      </c>
      <c r="R18">
        <v>0</v>
      </c>
      <c r="S18">
        <v>0</v>
      </c>
      <c r="T18">
        <v>0</v>
      </c>
      <c r="U18">
        <v>0</v>
      </c>
      <c r="V18">
        <v>0</v>
      </c>
      <c r="W18">
        <v>0</v>
      </c>
      <c r="X18">
        <v>0</v>
      </c>
      <c r="Y18">
        <v>0</v>
      </c>
      <c r="Z18">
        <v>0</v>
      </c>
      <c r="AA18">
        <v>0</v>
      </c>
      <c r="AB18">
        <v>0</v>
      </c>
    </row>
    <row r="19" spans="1:28" x14ac:dyDescent="0.3">
      <c r="A19" s="1">
        <v>44074</v>
      </c>
      <c r="B19" t="s">
        <v>66</v>
      </c>
      <c r="C19">
        <v>6</v>
      </c>
      <c r="D19">
        <v>0</v>
      </c>
      <c r="E19">
        <v>0</v>
      </c>
      <c r="F19">
        <v>0</v>
      </c>
      <c r="G19">
        <v>0</v>
      </c>
      <c r="H19">
        <v>0</v>
      </c>
      <c r="I19">
        <v>0</v>
      </c>
      <c r="J19">
        <v>0</v>
      </c>
      <c r="K19">
        <v>0</v>
      </c>
      <c r="L19">
        <v>0</v>
      </c>
      <c r="M19">
        <v>1413766</v>
      </c>
      <c r="N19" t="s">
        <v>67</v>
      </c>
      <c r="O19" t="s">
        <v>68</v>
      </c>
      <c r="P19">
        <v>0</v>
      </c>
      <c r="Q19">
        <v>0</v>
      </c>
      <c r="R19">
        <v>0</v>
      </c>
      <c r="S19">
        <v>0</v>
      </c>
      <c r="T19">
        <v>0</v>
      </c>
      <c r="U19">
        <v>0</v>
      </c>
      <c r="V19">
        <v>0</v>
      </c>
      <c r="W19">
        <v>0</v>
      </c>
      <c r="X19">
        <v>0</v>
      </c>
      <c r="Y19">
        <v>0</v>
      </c>
      <c r="Z19">
        <v>0</v>
      </c>
      <c r="AA19">
        <v>0</v>
      </c>
      <c r="AB19">
        <v>0</v>
      </c>
    </row>
    <row r="20" spans="1:28" x14ac:dyDescent="0.3">
      <c r="A20" s="1">
        <v>44074</v>
      </c>
      <c r="B20" t="s">
        <v>69</v>
      </c>
      <c r="C20">
        <v>6</v>
      </c>
      <c r="D20">
        <v>0</v>
      </c>
      <c r="E20">
        <v>0</v>
      </c>
      <c r="F20">
        <v>0</v>
      </c>
      <c r="G20">
        <v>0</v>
      </c>
      <c r="H20">
        <v>0</v>
      </c>
      <c r="I20">
        <v>0</v>
      </c>
      <c r="J20">
        <v>0</v>
      </c>
      <c r="K20">
        <v>0</v>
      </c>
      <c r="L20">
        <v>0</v>
      </c>
      <c r="M20">
        <v>1772040</v>
      </c>
      <c r="N20" t="s">
        <v>70</v>
      </c>
      <c r="O20" t="s">
        <v>71</v>
      </c>
      <c r="P20">
        <v>0</v>
      </c>
      <c r="Q20">
        <v>0</v>
      </c>
      <c r="R20">
        <v>0</v>
      </c>
      <c r="S20">
        <v>0</v>
      </c>
      <c r="T20">
        <v>0</v>
      </c>
      <c r="U20">
        <v>0</v>
      </c>
      <c r="V20">
        <v>0</v>
      </c>
      <c r="W20">
        <v>0</v>
      </c>
      <c r="X20">
        <v>0</v>
      </c>
      <c r="Y20">
        <v>0</v>
      </c>
      <c r="Z20">
        <v>0</v>
      </c>
      <c r="AA20">
        <v>0</v>
      </c>
      <c r="AB20">
        <v>0</v>
      </c>
    </row>
    <row r="21" spans="1:28" x14ac:dyDescent="0.3">
      <c r="A21" s="1">
        <v>44074</v>
      </c>
      <c r="B21" t="s">
        <v>75</v>
      </c>
      <c r="C21">
        <v>5</v>
      </c>
      <c r="D21">
        <v>0</v>
      </c>
      <c r="E21">
        <v>0</v>
      </c>
      <c r="F21">
        <v>0</v>
      </c>
      <c r="G21">
        <v>0</v>
      </c>
      <c r="H21">
        <v>0</v>
      </c>
      <c r="I21">
        <v>0</v>
      </c>
      <c r="J21">
        <v>0</v>
      </c>
      <c r="K21">
        <v>0</v>
      </c>
      <c r="L21">
        <v>0</v>
      </c>
      <c r="M21">
        <v>745788</v>
      </c>
      <c r="N21" t="s">
        <v>76</v>
      </c>
      <c r="O21" t="s">
        <v>77</v>
      </c>
      <c r="P21">
        <v>0</v>
      </c>
      <c r="Q21">
        <v>0</v>
      </c>
      <c r="R21">
        <v>0</v>
      </c>
      <c r="S21">
        <v>0</v>
      </c>
      <c r="T21">
        <v>0</v>
      </c>
      <c r="U21">
        <v>0</v>
      </c>
      <c r="V21">
        <v>0</v>
      </c>
      <c r="W21">
        <v>0</v>
      </c>
      <c r="X21">
        <v>0</v>
      </c>
      <c r="Y21">
        <v>0</v>
      </c>
      <c r="Z21">
        <v>0</v>
      </c>
      <c r="AA21">
        <v>0</v>
      </c>
      <c r="AB21">
        <v>0</v>
      </c>
    </row>
    <row r="22" spans="1:28" x14ac:dyDescent="0.3">
      <c r="A22" s="1">
        <v>44074</v>
      </c>
      <c r="B22" t="s">
        <v>72</v>
      </c>
      <c r="C22">
        <v>3</v>
      </c>
      <c r="D22">
        <v>0</v>
      </c>
      <c r="E22">
        <v>0</v>
      </c>
      <c r="F22">
        <v>0</v>
      </c>
      <c r="G22">
        <v>0</v>
      </c>
      <c r="H22">
        <v>0</v>
      </c>
      <c r="I22">
        <v>0</v>
      </c>
      <c r="J22">
        <v>0</v>
      </c>
      <c r="K22">
        <v>0</v>
      </c>
      <c r="L22">
        <v>0</v>
      </c>
      <c r="M22">
        <v>514792</v>
      </c>
      <c r="N22" t="s">
        <v>73</v>
      </c>
      <c r="O22" t="s">
        <v>74</v>
      </c>
      <c r="P22">
        <v>0</v>
      </c>
      <c r="Q22">
        <v>0</v>
      </c>
      <c r="R22">
        <v>0</v>
      </c>
      <c r="S22">
        <v>0</v>
      </c>
      <c r="T22">
        <v>0</v>
      </c>
      <c r="U22">
        <v>0</v>
      </c>
      <c r="V22">
        <v>0</v>
      </c>
      <c r="W22">
        <v>0</v>
      </c>
      <c r="X22">
        <v>0</v>
      </c>
      <c r="Y22">
        <v>0</v>
      </c>
      <c r="Z22">
        <v>0</v>
      </c>
      <c r="AA22">
        <v>0</v>
      </c>
      <c r="AB22">
        <v>0</v>
      </c>
    </row>
    <row r="23" spans="1:28" x14ac:dyDescent="0.3">
      <c r="A23" s="1">
        <v>44074</v>
      </c>
      <c r="B23" t="s">
        <v>234</v>
      </c>
      <c r="C23">
        <v>3</v>
      </c>
      <c r="D23">
        <v>0</v>
      </c>
      <c r="E23">
        <v>0</v>
      </c>
      <c r="F23">
        <v>0</v>
      </c>
      <c r="G23">
        <v>0</v>
      </c>
      <c r="H23">
        <v>0</v>
      </c>
      <c r="I23">
        <v>0</v>
      </c>
      <c r="J23">
        <v>0</v>
      </c>
      <c r="K23">
        <v>0</v>
      </c>
      <c r="L23">
        <v>0</v>
      </c>
      <c r="M23">
        <v>2243506</v>
      </c>
      <c r="N23" t="s">
        <v>235</v>
      </c>
      <c r="O23" t="s">
        <v>236</v>
      </c>
      <c r="P23">
        <v>0</v>
      </c>
      <c r="Q23">
        <v>0</v>
      </c>
      <c r="R23">
        <v>0</v>
      </c>
      <c r="S23">
        <v>0</v>
      </c>
      <c r="T23">
        <v>0</v>
      </c>
      <c r="U23">
        <v>0</v>
      </c>
      <c r="V23">
        <v>0</v>
      </c>
      <c r="W23">
        <v>0</v>
      </c>
      <c r="X23">
        <v>0</v>
      </c>
      <c r="Y23">
        <v>0</v>
      </c>
      <c r="Z23">
        <v>0</v>
      </c>
      <c r="AA23">
        <v>0</v>
      </c>
      <c r="AB23">
        <v>0</v>
      </c>
    </row>
    <row r="24" spans="1:28" x14ac:dyDescent="0.3">
      <c r="A24" s="1">
        <v>44074</v>
      </c>
      <c r="B24" t="s">
        <v>120</v>
      </c>
      <c r="C24">
        <v>2</v>
      </c>
      <c r="D24">
        <v>0</v>
      </c>
      <c r="E24">
        <v>0</v>
      </c>
      <c r="F24">
        <v>0</v>
      </c>
      <c r="G24">
        <v>0</v>
      </c>
      <c r="H24">
        <v>0</v>
      </c>
      <c r="I24">
        <v>0</v>
      </c>
      <c r="J24">
        <v>0</v>
      </c>
      <c r="K24">
        <v>0</v>
      </c>
      <c r="L24">
        <v>0</v>
      </c>
      <c r="M24">
        <v>154911</v>
      </c>
      <c r="N24" t="s">
        <v>121</v>
      </c>
      <c r="O24" t="s">
        <v>122</v>
      </c>
      <c r="P24">
        <v>0</v>
      </c>
      <c r="Q24">
        <v>0</v>
      </c>
      <c r="R24">
        <v>0</v>
      </c>
      <c r="S24">
        <v>0</v>
      </c>
      <c r="T24">
        <v>0</v>
      </c>
      <c r="U24">
        <v>0</v>
      </c>
      <c r="V24">
        <v>0</v>
      </c>
      <c r="W24">
        <v>0</v>
      </c>
      <c r="X24">
        <v>0</v>
      </c>
      <c r="Y24">
        <v>0</v>
      </c>
      <c r="Z24">
        <v>0</v>
      </c>
      <c r="AA24">
        <v>0</v>
      </c>
      <c r="AB24">
        <v>0</v>
      </c>
    </row>
    <row r="25" spans="1:28" x14ac:dyDescent="0.3">
      <c r="A25" s="1">
        <v>44074</v>
      </c>
      <c r="B25" t="s">
        <v>123</v>
      </c>
      <c r="C25">
        <v>2</v>
      </c>
      <c r="D25">
        <v>0</v>
      </c>
      <c r="E25">
        <v>0</v>
      </c>
      <c r="F25">
        <v>0</v>
      </c>
      <c r="G25">
        <v>0</v>
      </c>
      <c r="H25">
        <v>0</v>
      </c>
      <c r="I25">
        <v>0</v>
      </c>
      <c r="J25">
        <v>0</v>
      </c>
      <c r="K25">
        <v>0</v>
      </c>
      <c r="L25">
        <v>0</v>
      </c>
      <c r="M25">
        <v>213636</v>
      </c>
      <c r="N25" t="s">
        <v>124</v>
      </c>
      <c r="O25" t="s">
        <v>125</v>
      </c>
      <c r="P25">
        <v>0</v>
      </c>
      <c r="Q25">
        <v>0</v>
      </c>
      <c r="R25">
        <v>0</v>
      </c>
      <c r="S25">
        <v>0</v>
      </c>
      <c r="T25">
        <v>0</v>
      </c>
      <c r="U25">
        <v>0</v>
      </c>
      <c r="V25">
        <v>0</v>
      </c>
      <c r="W25">
        <v>0</v>
      </c>
      <c r="X25">
        <v>0</v>
      </c>
      <c r="Y25">
        <v>0</v>
      </c>
      <c r="Z25">
        <v>0</v>
      </c>
      <c r="AA25">
        <v>0</v>
      </c>
      <c r="AB25">
        <v>0</v>
      </c>
    </row>
    <row r="26" spans="1:28" x14ac:dyDescent="0.3">
      <c r="A26" s="1">
        <v>44074</v>
      </c>
      <c r="B26" t="s">
        <v>102</v>
      </c>
      <c r="C26">
        <v>2</v>
      </c>
      <c r="D26">
        <v>0</v>
      </c>
      <c r="E26">
        <v>0</v>
      </c>
      <c r="F26">
        <v>0</v>
      </c>
      <c r="G26">
        <v>0</v>
      </c>
      <c r="H26">
        <v>0</v>
      </c>
      <c r="I26">
        <v>0</v>
      </c>
      <c r="J26">
        <v>0</v>
      </c>
      <c r="K26">
        <v>0</v>
      </c>
      <c r="L26">
        <v>0</v>
      </c>
      <c r="M26">
        <v>742098</v>
      </c>
      <c r="N26" t="s">
        <v>103</v>
      </c>
      <c r="O26" t="s">
        <v>104</v>
      </c>
      <c r="P26">
        <v>0</v>
      </c>
      <c r="Q26">
        <v>0</v>
      </c>
      <c r="R26">
        <v>0</v>
      </c>
      <c r="S26">
        <v>0</v>
      </c>
      <c r="T26">
        <v>0</v>
      </c>
      <c r="U26">
        <v>0</v>
      </c>
      <c r="V26">
        <v>0</v>
      </c>
      <c r="W26">
        <v>0</v>
      </c>
      <c r="X26">
        <v>0</v>
      </c>
      <c r="Y26">
        <v>0</v>
      </c>
      <c r="Z26">
        <v>0</v>
      </c>
      <c r="AA26">
        <v>0</v>
      </c>
      <c r="AB26">
        <v>0</v>
      </c>
    </row>
    <row r="27" spans="1:28" x14ac:dyDescent="0.3">
      <c r="A27" s="1">
        <v>44074</v>
      </c>
      <c r="B27" t="s">
        <v>81</v>
      </c>
      <c r="C27">
        <v>2</v>
      </c>
      <c r="D27">
        <v>0</v>
      </c>
      <c r="E27">
        <v>0</v>
      </c>
      <c r="F27">
        <v>0</v>
      </c>
      <c r="G27">
        <v>0</v>
      </c>
      <c r="H27">
        <v>0</v>
      </c>
      <c r="I27">
        <v>0</v>
      </c>
      <c r="J27">
        <v>0</v>
      </c>
      <c r="K27">
        <v>0</v>
      </c>
      <c r="L27">
        <v>0</v>
      </c>
      <c r="M27">
        <v>1225169</v>
      </c>
      <c r="N27" t="s">
        <v>82</v>
      </c>
      <c r="O27" t="s">
        <v>83</v>
      </c>
      <c r="P27">
        <v>0</v>
      </c>
      <c r="Q27">
        <v>0</v>
      </c>
      <c r="R27">
        <v>0</v>
      </c>
      <c r="S27">
        <v>0</v>
      </c>
      <c r="T27">
        <v>0</v>
      </c>
      <c r="U27">
        <v>0</v>
      </c>
      <c r="V27">
        <v>0</v>
      </c>
      <c r="W27">
        <v>0</v>
      </c>
      <c r="X27">
        <v>0</v>
      </c>
      <c r="Y27">
        <v>0</v>
      </c>
      <c r="Z27">
        <v>0</v>
      </c>
      <c r="AA27">
        <v>0</v>
      </c>
      <c r="AB27">
        <v>0</v>
      </c>
    </row>
    <row r="28" spans="1:28" x14ac:dyDescent="0.3">
      <c r="A28" s="1">
        <v>44074</v>
      </c>
      <c r="B28" t="s">
        <v>84</v>
      </c>
      <c r="C28">
        <v>2</v>
      </c>
      <c r="D28">
        <v>0</v>
      </c>
      <c r="E28">
        <v>0</v>
      </c>
      <c r="F28">
        <v>0</v>
      </c>
      <c r="G28">
        <v>0</v>
      </c>
      <c r="H28">
        <v>0</v>
      </c>
      <c r="I28">
        <v>0</v>
      </c>
      <c r="J28">
        <v>0</v>
      </c>
      <c r="K28">
        <v>0</v>
      </c>
      <c r="L28">
        <v>0</v>
      </c>
      <c r="M28">
        <v>1242889</v>
      </c>
      <c r="N28" t="s">
        <v>85</v>
      </c>
      <c r="O28" t="s">
        <v>86</v>
      </c>
      <c r="P28">
        <v>0</v>
      </c>
      <c r="Q28">
        <v>0</v>
      </c>
      <c r="R28">
        <v>0</v>
      </c>
      <c r="S28">
        <v>0</v>
      </c>
      <c r="T28">
        <v>0</v>
      </c>
      <c r="U28">
        <v>0</v>
      </c>
      <c r="V28">
        <v>0</v>
      </c>
      <c r="W28">
        <v>0</v>
      </c>
      <c r="X28">
        <v>0</v>
      </c>
      <c r="Y28">
        <v>0</v>
      </c>
      <c r="Z28">
        <v>0</v>
      </c>
      <c r="AA28">
        <v>0</v>
      </c>
      <c r="AB28">
        <v>0</v>
      </c>
    </row>
    <row r="29" spans="1:28" x14ac:dyDescent="0.3">
      <c r="A29" s="1">
        <v>44074</v>
      </c>
      <c r="B29" t="s">
        <v>87</v>
      </c>
      <c r="C29">
        <v>2</v>
      </c>
      <c r="D29">
        <v>0</v>
      </c>
      <c r="E29">
        <v>0</v>
      </c>
      <c r="F29">
        <v>0</v>
      </c>
      <c r="G29">
        <v>0</v>
      </c>
      <c r="H29">
        <v>0</v>
      </c>
      <c r="I29">
        <v>0</v>
      </c>
      <c r="J29">
        <v>0</v>
      </c>
      <c r="K29">
        <v>0</v>
      </c>
      <c r="L29">
        <v>0</v>
      </c>
      <c r="M29">
        <v>1519404</v>
      </c>
      <c r="N29" t="s">
        <v>88</v>
      </c>
      <c r="O29" t="s">
        <v>89</v>
      </c>
      <c r="P29">
        <v>0</v>
      </c>
      <c r="Q29">
        <v>0</v>
      </c>
      <c r="R29">
        <v>0</v>
      </c>
      <c r="S29">
        <v>0</v>
      </c>
      <c r="T29">
        <v>0</v>
      </c>
      <c r="U29">
        <v>0</v>
      </c>
      <c r="V29">
        <v>0</v>
      </c>
      <c r="W29">
        <v>0</v>
      </c>
      <c r="X29">
        <v>0</v>
      </c>
      <c r="Y29">
        <v>0</v>
      </c>
      <c r="Z29">
        <v>0</v>
      </c>
      <c r="AA29">
        <v>0</v>
      </c>
      <c r="AB29">
        <v>0</v>
      </c>
    </row>
    <row r="30" spans="1:28" x14ac:dyDescent="0.3">
      <c r="A30" s="1">
        <v>44074</v>
      </c>
      <c r="B30" t="s">
        <v>138</v>
      </c>
      <c r="C30">
        <v>2</v>
      </c>
      <c r="D30">
        <v>0</v>
      </c>
      <c r="E30">
        <v>0</v>
      </c>
      <c r="F30">
        <v>0</v>
      </c>
      <c r="G30">
        <v>0</v>
      </c>
      <c r="H30">
        <v>0</v>
      </c>
      <c r="I30">
        <v>0</v>
      </c>
      <c r="J30">
        <v>0</v>
      </c>
      <c r="K30">
        <v>0</v>
      </c>
      <c r="L30">
        <v>0</v>
      </c>
      <c r="M30">
        <v>1578665</v>
      </c>
      <c r="N30" t="s">
        <v>139</v>
      </c>
      <c r="O30" t="s">
        <v>140</v>
      </c>
      <c r="P30">
        <v>0</v>
      </c>
      <c r="Q30">
        <v>0</v>
      </c>
      <c r="R30">
        <v>0</v>
      </c>
      <c r="S30">
        <v>0</v>
      </c>
      <c r="T30">
        <v>0</v>
      </c>
      <c r="U30">
        <v>0</v>
      </c>
      <c r="V30">
        <v>0</v>
      </c>
      <c r="W30">
        <v>0</v>
      </c>
      <c r="X30">
        <v>0</v>
      </c>
      <c r="Y30">
        <v>0</v>
      </c>
      <c r="Z30">
        <v>0</v>
      </c>
      <c r="AA30">
        <v>0</v>
      </c>
      <c r="AB30">
        <v>0</v>
      </c>
    </row>
    <row r="31" spans="1:28" x14ac:dyDescent="0.3">
      <c r="A31" s="1">
        <v>44074</v>
      </c>
      <c r="B31" t="s">
        <v>237</v>
      </c>
      <c r="C31">
        <v>2</v>
      </c>
      <c r="D31">
        <v>0</v>
      </c>
      <c r="E31">
        <v>0</v>
      </c>
      <c r="F31">
        <v>0</v>
      </c>
      <c r="G31">
        <v>0</v>
      </c>
      <c r="H31">
        <v>0</v>
      </c>
      <c r="I31">
        <v>0</v>
      </c>
      <c r="J31">
        <v>0</v>
      </c>
      <c r="K31">
        <v>0</v>
      </c>
      <c r="L31">
        <v>0</v>
      </c>
      <c r="M31">
        <v>2118399</v>
      </c>
      <c r="N31" t="s">
        <v>238</v>
      </c>
      <c r="O31" t="s">
        <v>239</v>
      </c>
      <c r="P31">
        <v>0</v>
      </c>
      <c r="Q31">
        <v>0</v>
      </c>
      <c r="R31">
        <v>0</v>
      </c>
      <c r="S31">
        <v>0</v>
      </c>
      <c r="T31">
        <v>0</v>
      </c>
      <c r="U31">
        <v>0</v>
      </c>
      <c r="V31">
        <v>0</v>
      </c>
      <c r="W31">
        <v>0</v>
      </c>
      <c r="X31">
        <v>0</v>
      </c>
      <c r="Y31">
        <v>0</v>
      </c>
      <c r="Z31">
        <v>0</v>
      </c>
      <c r="AA31">
        <v>0</v>
      </c>
      <c r="AB31">
        <v>0</v>
      </c>
    </row>
    <row r="32" spans="1:28" x14ac:dyDescent="0.3">
      <c r="A32" s="1">
        <v>44074</v>
      </c>
      <c r="B32" t="s">
        <v>240</v>
      </c>
      <c r="C32">
        <v>1</v>
      </c>
      <c r="D32">
        <v>0</v>
      </c>
      <c r="E32">
        <v>0</v>
      </c>
      <c r="F32">
        <v>0</v>
      </c>
      <c r="G32">
        <v>0</v>
      </c>
      <c r="H32">
        <v>0</v>
      </c>
      <c r="I32">
        <v>0</v>
      </c>
      <c r="J32">
        <v>0</v>
      </c>
      <c r="K32">
        <v>0</v>
      </c>
      <c r="L32">
        <v>0</v>
      </c>
      <c r="M32">
        <v>160437</v>
      </c>
      <c r="N32" t="s">
        <v>241</v>
      </c>
      <c r="O32" t="s">
        <v>242</v>
      </c>
      <c r="P32">
        <v>0</v>
      </c>
      <c r="Q32">
        <v>0</v>
      </c>
      <c r="R32">
        <v>0</v>
      </c>
      <c r="S32">
        <v>0</v>
      </c>
      <c r="T32">
        <v>0</v>
      </c>
      <c r="U32">
        <v>0</v>
      </c>
      <c r="V32">
        <v>0</v>
      </c>
      <c r="W32">
        <v>0</v>
      </c>
      <c r="X32">
        <v>0</v>
      </c>
      <c r="Y32">
        <v>0</v>
      </c>
      <c r="Z32">
        <v>0</v>
      </c>
      <c r="AA32">
        <v>0</v>
      </c>
      <c r="AB32">
        <v>0</v>
      </c>
    </row>
    <row r="33" spans="1:28" x14ac:dyDescent="0.3">
      <c r="A33" s="1">
        <v>44074</v>
      </c>
      <c r="B33" t="s">
        <v>99</v>
      </c>
      <c r="C33">
        <v>1</v>
      </c>
      <c r="D33">
        <v>0</v>
      </c>
      <c r="E33">
        <v>0</v>
      </c>
      <c r="F33">
        <v>0</v>
      </c>
      <c r="G33">
        <v>0</v>
      </c>
      <c r="H33">
        <v>0</v>
      </c>
      <c r="I33">
        <v>0</v>
      </c>
      <c r="J33">
        <v>0</v>
      </c>
      <c r="K33">
        <v>0</v>
      </c>
      <c r="L33">
        <v>0</v>
      </c>
      <c r="M33">
        <v>193744</v>
      </c>
      <c r="N33" t="s">
        <v>100</v>
      </c>
      <c r="O33" t="s">
        <v>101</v>
      </c>
      <c r="P33">
        <v>0</v>
      </c>
      <c r="Q33">
        <v>0</v>
      </c>
      <c r="R33">
        <v>0</v>
      </c>
      <c r="S33">
        <v>0</v>
      </c>
      <c r="T33">
        <v>0</v>
      </c>
      <c r="U33">
        <v>0</v>
      </c>
      <c r="V33">
        <v>0</v>
      </c>
      <c r="W33">
        <v>0</v>
      </c>
      <c r="X33">
        <v>0</v>
      </c>
      <c r="Y33">
        <v>0</v>
      </c>
      <c r="Z33">
        <v>0</v>
      </c>
      <c r="AA33">
        <v>0</v>
      </c>
      <c r="AB33">
        <v>0</v>
      </c>
    </row>
    <row r="34" spans="1:28" x14ac:dyDescent="0.3">
      <c r="A34" s="1">
        <v>44074</v>
      </c>
      <c r="B34" t="s">
        <v>126</v>
      </c>
      <c r="C34">
        <v>1</v>
      </c>
      <c r="D34">
        <v>0</v>
      </c>
      <c r="E34">
        <v>0</v>
      </c>
      <c r="F34">
        <v>0</v>
      </c>
      <c r="G34">
        <v>0</v>
      </c>
      <c r="H34">
        <v>0</v>
      </c>
      <c r="I34">
        <v>0</v>
      </c>
      <c r="J34">
        <v>0</v>
      </c>
      <c r="K34">
        <v>0</v>
      </c>
      <c r="L34">
        <v>0</v>
      </c>
      <c r="M34">
        <v>318676</v>
      </c>
      <c r="N34" t="s">
        <v>127</v>
      </c>
      <c r="O34" t="s">
        <v>128</v>
      </c>
      <c r="P34">
        <v>0</v>
      </c>
      <c r="Q34">
        <v>0</v>
      </c>
      <c r="R34">
        <v>0</v>
      </c>
      <c r="S34">
        <v>0</v>
      </c>
      <c r="T34">
        <v>0</v>
      </c>
      <c r="U34">
        <v>0</v>
      </c>
      <c r="V34">
        <v>0</v>
      </c>
      <c r="W34">
        <v>0</v>
      </c>
      <c r="X34">
        <v>0</v>
      </c>
      <c r="Y34">
        <v>0</v>
      </c>
      <c r="Z34">
        <v>0</v>
      </c>
      <c r="AA34">
        <v>0</v>
      </c>
      <c r="AB34">
        <v>0</v>
      </c>
    </row>
    <row r="35" spans="1:28" x14ac:dyDescent="0.3">
      <c r="A35" s="1">
        <v>44074</v>
      </c>
      <c r="B35" t="s">
        <v>162</v>
      </c>
      <c r="C35">
        <v>1</v>
      </c>
      <c r="D35">
        <v>0</v>
      </c>
      <c r="E35">
        <v>0</v>
      </c>
      <c r="F35">
        <v>0</v>
      </c>
      <c r="G35">
        <v>0</v>
      </c>
      <c r="H35">
        <v>0</v>
      </c>
      <c r="I35">
        <v>0</v>
      </c>
      <c r="J35">
        <v>0</v>
      </c>
      <c r="K35">
        <v>0</v>
      </c>
      <c r="L35">
        <v>0</v>
      </c>
      <c r="M35">
        <v>708786</v>
      </c>
      <c r="N35" t="s">
        <v>163</v>
      </c>
      <c r="O35" t="s">
        <v>164</v>
      </c>
      <c r="P35">
        <v>0</v>
      </c>
      <c r="Q35">
        <v>0</v>
      </c>
      <c r="R35">
        <v>0</v>
      </c>
      <c r="S35">
        <v>0</v>
      </c>
      <c r="T35">
        <v>0</v>
      </c>
      <c r="U35">
        <v>0</v>
      </c>
      <c r="V35">
        <v>0</v>
      </c>
      <c r="W35">
        <v>0</v>
      </c>
      <c r="X35">
        <v>0</v>
      </c>
      <c r="Y35">
        <v>0</v>
      </c>
      <c r="Z35">
        <v>0</v>
      </c>
      <c r="AA35">
        <v>0</v>
      </c>
      <c r="AB35">
        <v>0</v>
      </c>
    </row>
    <row r="36" spans="1:28" x14ac:dyDescent="0.3">
      <c r="A36" s="1">
        <v>44074</v>
      </c>
      <c r="B36" t="s">
        <v>108</v>
      </c>
      <c r="C36">
        <v>1</v>
      </c>
      <c r="D36">
        <v>0</v>
      </c>
      <c r="E36">
        <v>0</v>
      </c>
      <c r="F36">
        <v>0</v>
      </c>
      <c r="G36">
        <v>0</v>
      </c>
      <c r="H36">
        <v>0</v>
      </c>
      <c r="I36">
        <v>0</v>
      </c>
      <c r="J36">
        <v>0</v>
      </c>
      <c r="K36">
        <v>0</v>
      </c>
      <c r="L36">
        <v>0</v>
      </c>
      <c r="M36">
        <v>1273061</v>
      </c>
      <c r="N36" t="s">
        <v>109</v>
      </c>
      <c r="O36" t="s">
        <v>110</v>
      </c>
      <c r="P36">
        <v>0</v>
      </c>
      <c r="Q36">
        <v>0</v>
      </c>
      <c r="R36">
        <v>0</v>
      </c>
      <c r="S36">
        <v>0</v>
      </c>
      <c r="T36">
        <v>0</v>
      </c>
      <c r="U36">
        <v>0</v>
      </c>
      <c r="V36">
        <v>0</v>
      </c>
      <c r="W36">
        <v>0</v>
      </c>
      <c r="X36">
        <v>0</v>
      </c>
      <c r="Y36">
        <v>0</v>
      </c>
      <c r="Z36">
        <v>0</v>
      </c>
      <c r="AA36">
        <v>0</v>
      </c>
      <c r="AB36">
        <v>0</v>
      </c>
    </row>
    <row r="37" spans="1:28" x14ac:dyDescent="0.3">
      <c r="A37" s="1">
        <v>44074</v>
      </c>
      <c r="B37" t="s">
        <v>189</v>
      </c>
      <c r="C37">
        <v>1</v>
      </c>
      <c r="D37">
        <v>0</v>
      </c>
      <c r="E37">
        <v>0</v>
      </c>
      <c r="F37">
        <v>0</v>
      </c>
      <c r="G37">
        <v>0</v>
      </c>
      <c r="H37">
        <v>0</v>
      </c>
      <c r="I37">
        <v>0</v>
      </c>
      <c r="J37">
        <v>0</v>
      </c>
      <c r="K37">
        <v>0</v>
      </c>
      <c r="L37">
        <v>0</v>
      </c>
      <c r="M37">
        <v>1307407</v>
      </c>
      <c r="N37" t="s">
        <v>190</v>
      </c>
      <c r="O37" t="s">
        <v>191</v>
      </c>
      <c r="P37">
        <v>0</v>
      </c>
      <c r="Q37">
        <v>0</v>
      </c>
      <c r="R37">
        <v>0</v>
      </c>
      <c r="S37">
        <v>0</v>
      </c>
      <c r="T37">
        <v>0</v>
      </c>
      <c r="U37">
        <v>0</v>
      </c>
      <c r="V37">
        <v>0</v>
      </c>
      <c r="W37">
        <v>0</v>
      </c>
      <c r="X37">
        <v>0</v>
      </c>
      <c r="Y37">
        <v>0</v>
      </c>
      <c r="Z37">
        <v>0</v>
      </c>
      <c r="AA37">
        <v>0</v>
      </c>
      <c r="AB37">
        <v>0</v>
      </c>
    </row>
    <row r="38" spans="1:28" x14ac:dyDescent="0.3">
      <c r="A38" s="1">
        <v>44074</v>
      </c>
      <c r="B38" t="s">
        <v>225</v>
      </c>
      <c r="C38">
        <v>1</v>
      </c>
      <c r="D38">
        <v>0</v>
      </c>
      <c r="E38">
        <v>0</v>
      </c>
      <c r="F38">
        <v>0</v>
      </c>
      <c r="G38">
        <v>0</v>
      </c>
      <c r="H38">
        <v>0</v>
      </c>
      <c r="I38">
        <v>0</v>
      </c>
      <c r="J38">
        <v>0</v>
      </c>
      <c r="K38">
        <v>0</v>
      </c>
      <c r="L38">
        <v>0</v>
      </c>
      <c r="M38">
        <v>1393373</v>
      </c>
      <c r="N38" t="s">
        <v>226</v>
      </c>
      <c r="O38" t="s">
        <v>227</v>
      </c>
      <c r="P38">
        <v>0</v>
      </c>
      <c r="Q38">
        <v>0</v>
      </c>
      <c r="R38">
        <v>0</v>
      </c>
      <c r="S38">
        <v>0</v>
      </c>
      <c r="T38">
        <v>0</v>
      </c>
      <c r="U38">
        <v>0</v>
      </c>
      <c r="V38">
        <v>0</v>
      </c>
      <c r="W38">
        <v>0</v>
      </c>
      <c r="X38">
        <v>0</v>
      </c>
      <c r="Y38">
        <v>0</v>
      </c>
      <c r="Z38">
        <v>0</v>
      </c>
      <c r="AA38">
        <v>0</v>
      </c>
      <c r="AB38">
        <v>0</v>
      </c>
    </row>
    <row r="39" spans="1:28" x14ac:dyDescent="0.3">
      <c r="A39" s="1">
        <v>44074</v>
      </c>
      <c r="B39" t="s">
        <v>135</v>
      </c>
      <c r="C39">
        <v>1</v>
      </c>
      <c r="D39">
        <v>0</v>
      </c>
      <c r="E39">
        <v>0</v>
      </c>
      <c r="F39">
        <v>0</v>
      </c>
      <c r="G39">
        <v>0</v>
      </c>
      <c r="H39">
        <v>0</v>
      </c>
      <c r="I39">
        <v>0</v>
      </c>
      <c r="J39">
        <v>0</v>
      </c>
      <c r="K39">
        <v>0</v>
      </c>
      <c r="L39">
        <v>0</v>
      </c>
      <c r="M39">
        <v>1538097</v>
      </c>
      <c r="N39" t="s">
        <v>136</v>
      </c>
      <c r="O39" t="s">
        <v>137</v>
      </c>
      <c r="P39">
        <v>0</v>
      </c>
      <c r="Q39">
        <v>0</v>
      </c>
      <c r="R39">
        <v>0</v>
      </c>
      <c r="S39">
        <v>0</v>
      </c>
      <c r="T39">
        <v>0</v>
      </c>
      <c r="U39">
        <v>0</v>
      </c>
      <c r="V39">
        <v>0</v>
      </c>
      <c r="W39">
        <v>0</v>
      </c>
      <c r="X39">
        <v>0</v>
      </c>
      <c r="Y39">
        <v>0</v>
      </c>
      <c r="Z39">
        <v>0</v>
      </c>
      <c r="AA39">
        <v>0</v>
      </c>
      <c r="AB39">
        <v>0</v>
      </c>
    </row>
    <row r="40" spans="1:28" x14ac:dyDescent="0.3">
      <c r="A40" s="1">
        <v>44074</v>
      </c>
      <c r="B40" t="s">
        <v>243</v>
      </c>
      <c r="C40">
        <v>1</v>
      </c>
      <c r="D40">
        <v>0</v>
      </c>
      <c r="E40">
        <v>0</v>
      </c>
      <c r="F40">
        <v>0</v>
      </c>
      <c r="G40">
        <v>0</v>
      </c>
      <c r="H40">
        <v>0</v>
      </c>
      <c r="I40">
        <v>0</v>
      </c>
      <c r="J40">
        <v>0</v>
      </c>
      <c r="K40">
        <v>0</v>
      </c>
      <c r="L40">
        <v>0</v>
      </c>
      <c r="M40">
        <v>1665845</v>
      </c>
      <c r="N40" t="s">
        <v>244</v>
      </c>
      <c r="O40" t="s">
        <v>245</v>
      </c>
      <c r="P40">
        <v>0</v>
      </c>
      <c r="Q40">
        <v>0</v>
      </c>
      <c r="R40">
        <v>0</v>
      </c>
      <c r="S40">
        <v>0</v>
      </c>
      <c r="T40">
        <v>0</v>
      </c>
      <c r="U40">
        <v>0</v>
      </c>
      <c r="V40">
        <v>0</v>
      </c>
      <c r="W40">
        <v>0</v>
      </c>
      <c r="X40">
        <v>0</v>
      </c>
      <c r="Y40">
        <v>0</v>
      </c>
      <c r="Z40">
        <v>0</v>
      </c>
      <c r="AA40">
        <v>0</v>
      </c>
      <c r="AB40">
        <v>0</v>
      </c>
    </row>
    <row r="41" spans="1:28" x14ac:dyDescent="0.3">
      <c r="A41" s="1">
        <v>44074</v>
      </c>
      <c r="B41" t="s">
        <v>246</v>
      </c>
      <c r="C41">
        <v>1</v>
      </c>
      <c r="D41">
        <v>0</v>
      </c>
      <c r="E41">
        <v>0</v>
      </c>
      <c r="F41">
        <v>0</v>
      </c>
      <c r="G41">
        <v>0</v>
      </c>
      <c r="H41">
        <v>0</v>
      </c>
      <c r="I41">
        <v>0</v>
      </c>
      <c r="J41">
        <v>0</v>
      </c>
      <c r="K41">
        <v>0</v>
      </c>
      <c r="L41">
        <v>0</v>
      </c>
      <c r="M41">
        <v>1938661</v>
      </c>
      <c r="N41" t="s">
        <v>247</v>
      </c>
      <c r="O41" t="s">
        <v>248</v>
      </c>
      <c r="P41">
        <v>0</v>
      </c>
      <c r="Q41">
        <v>0</v>
      </c>
      <c r="R41">
        <v>0</v>
      </c>
      <c r="S41">
        <v>0</v>
      </c>
      <c r="T41">
        <v>0</v>
      </c>
      <c r="U41">
        <v>0</v>
      </c>
      <c r="V41">
        <v>0</v>
      </c>
      <c r="W41">
        <v>0</v>
      </c>
      <c r="X41">
        <v>0</v>
      </c>
      <c r="Y41">
        <v>0</v>
      </c>
      <c r="Z41">
        <v>0</v>
      </c>
      <c r="AA41">
        <v>0</v>
      </c>
      <c r="AB41">
        <v>0</v>
      </c>
    </row>
    <row r="42" spans="1:28" x14ac:dyDescent="0.3">
      <c r="A42" s="1">
        <v>44075</v>
      </c>
      <c r="B42" t="s">
        <v>69</v>
      </c>
      <c r="C42">
        <v>6</v>
      </c>
      <c r="D42">
        <v>170.1</v>
      </c>
      <c r="E42">
        <v>0</v>
      </c>
      <c r="F42">
        <v>170.1</v>
      </c>
      <c r="G42">
        <v>1</v>
      </c>
      <c r="H42">
        <v>0</v>
      </c>
      <c r="I42">
        <v>30.62</v>
      </c>
      <c r="J42">
        <v>16.670000000000002</v>
      </c>
      <c r="K42">
        <v>510.33</v>
      </c>
      <c r="L42">
        <v>170.1</v>
      </c>
      <c r="M42">
        <v>1772040</v>
      </c>
      <c r="N42" t="s">
        <v>70</v>
      </c>
      <c r="O42" t="s">
        <v>71</v>
      </c>
      <c r="P42">
        <v>1</v>
      </c>
      <c r="Q42">
        <v>0</v>
      </c>
      <c r="R42">
        <v>0</v>
      </c>
      <c r="S42">
        <v>0</v>
      </c>
      <c r="T42">
        <v>0</v>
      </c>
      <c r="U42">
        <v>0</v>
      </c>
      <c r="V42">
        <v>30.62</v>
      </c>
      <c r="W42">
        <v>0</v>
      </c>
      <c r="X42">
        <v>0</v>
      </c>
      <c r="Y42">
        <v>0</v>
      </c>
      <c r="Z42">
        <v>0</v>
      </c>
      <c r="AA42">
        <v>0</v>
      </c>
      <c r="AB42">
        <v>6.12</v>
      </c>
    </row>
    <row r="43" spans="1:28" x14ac:dyDescent="0.3">
      <c r="A43" s="1">
        <v>44075</v>
      </c>
      <c r="B43" t="s">
        <v>34</v>
      </c>
      <c r="C43">
        <v>12</v>
      </c>
      <c r="D43">
        <v>151.19999999999999</v>
      </c>
      <c r="E43">
        <v>0</v>
      </c>
      <c r="F43">
        <v>151.19999999999999</v>
      </c>
      <c r="G43">
        <v>1</v>
      </c>
      <c r="H43">
        <v>0</v>
      </c>
      <c r="I43">
        <v>30.24</v>
      </c>
      <c r="J43">
        <v>8.33</v>
      </c>
      <c r="K43">
        <v>252</v>
      </c>
      <c r="L43">
        <v>151.19999999999999</v>
      </c>
      <c r="M43">
        <v>2284878</v>
      </c>
      <c r="N43" t="s">
        <v>35</v>
      </c>
      <c r="O43" t="s">
        <v>36</v>
      </c>
      <c r="P43">
        <v>1</v>
      </c>
      <c r="Q43">
        <v>0</v>
      </c>
      <c r="R43">
        <v>0</v>
      </c>
      <c r="S43">
        <v>0</v>
      </c>
      <c r="T43">
        <v>0</v>
      </c>
      <c r="U43">
        <v>0</v>
      </c>
      <c r="V43">
        <v>30.24</v>
      </c>
      <c r="W43">
        <v>0</v>
      </c>
      <c r="X43">
        <v>0</v>
      </c>
      <c r="Y43">
        <v>0</v>
      </c>
      <c r="Z43">
        <v>0</v>
      </c>
      <c r="AA43">
        <v>0</v>
      </c>
      <c r="AB43">
        <v>6.05</v>
      </c>
    </row>
    <row r="44" spans="1:28" x14ac:dyDescent="0.3">
      <c r="A44" s="1">
        <v>44075</v>
      </c>
      <c r="B44" t="s">
        <v>93</v>
      </c>
      <c r="C44">
        <v>8</v>
      </c>
      <c r="D44">
        <v>350.4</v>
      </c>
      <c r="E44">
        <v>0</v>
      </c>
      <c r="F44">
        <v>350.4</v>
      </c>
      <c r="G44">
        <v>2</v>
      </c>
      <c r="H44">
        <v>0</v>
      </c>
      <c r="I44">
        <v>10.52</v>
      </c>
      <c r="J44">
        <v>25</v>
      </c>
      <c r="K44">
        <v>131.5</v>
      </c>
      <c r="L44">
        <v>175.2</v>
      </c>
      <c r="M44">
        <v>1238556</v>
      </c>
      <c r="N44" t="s">
        <v>94</v>
      </c>
      <c r="O44" t="s">
        <v>95</v>
      </c>
      <c r="P44">
        <v>2</v>
      </c>
      <c r="Q44">
        <v>0</v>
      </c>
      <c r="R44">
        <v>0</v>
      </c>
      <c r="S44">
        <v>0</v>
      </c>
      <c r="T44">
        <v>0</v>
      </c>
      <c r="U44">
        <v>0</v>
      </c>
      <c r="V44">
        <v>10.52</v>
      </c>
      <c r="W44">
        <v>0</v>
      </c>
      <c r="X44">
        <v>0</v>
      </c>
      <c r="Y44">
        <v>0</v>
      </c>
      <c r="Z44">
        <v>0</v>
      </c>
      <c r="AA44">
        <v>0</v>
      </c>
      <c r="AB44">
        <v>2.11</v>
      </c>
    </row>
    <row r="45" spans="1:28" x14ac:dyDescent="0.3">
      <c r="A45" s="1">
        <v>44075</v>
      </c>
      <c r="B45" t="s">
        <v>43</v>
      </c>
      <c r="C45">
        <v>16</v>
      </c>
      <c r="D45">
        <v>329.45</v>
      </c>
      <c r="E45">
        <v>0</v>
      </c>
      <c r="F45">
        <v>329.45</v>
      </c>
      <c r="G45">
        <v>2</v>
      </c>
      <c r="H45">
        <v>0</v>
      </c>
      <c r="I45">
        <v>9.89</v>
      </c>
      <c r="J45">
        <v>12.5</v>
      </c>
      <c r="K45">
        <v>61.81</v>
      </c>
      <c r="L45">
        <v>164.73</v>
      </c>
      <c r="M45">
        <v>389818</v>
      </c>
      <c r="N45" t="s">
        <v>44</v>
      </c>
      <c r="O45" t="s">
        <v>45</v>
      </c>
      <c r="P45">
        <v>2</v>
      </c>
      <c r="Q45">
        <v>0</v>
      </c>
      <c r="R45">
        <v>0</v>
      </c>
      <c r="S45">
        <v>0</v>
      </c>
      <c r="T45">
        <v>0</v>
      </c>
      <c r="U45">
        <v>0</v>
      </c>
      <c r="V45">
        <v>9.89</v>
      </c>
      <c r="W45">
        <v>0</v>
      </c>
      <c r="X45">
        <v>0</v>
      </c>
      <c r="Y45">
        <v>0</v>
      </c>
      <c r="Z45">
        <v>0</v>
      </c>
      <c r="AA45">
        <v>0</v>
      </c>
      <c r="AB45">
        <v>1.98</v>
      </c>
    </row>
    <row r="46" spans="1:28" x14ac:dyDescent="0.3">
      <c r="A46" s="1">
        <v>44075</v>
      </c>
      <c r="B46" t="s">
        <v>63</v>
      </c>
      <c r="C46">
        <v>8</v>
      </c>
      <c r="D46">
        <v>312.60000000000002</v>
      </c>
      <c r="E46">
        <v>0</v>
      </c>
      <c r="F46">
        <v>312.60000000000002</v>
      </c>
      <c r="G46">
        <v>2</v>
      </c>
      <c r="H46">
        <v>0</v>
      </c>
      <c r="I46">
        <v>9.3800000000000008</v>
      </c>
      <c r="J46">
        <v>25</v>
      </c>
      <c r="K46">
        <v>117.25</v>
      </c>
      <c r="L46">
        <v>156.30000000000001</v>
      </c>
      <c r="M46">
        <v>140995</v>
      </c>
      <c r="N46" t="s">
        <v>64</v>
      </c>
      <c r="O46" t="s">
        <v>65</v>
      </c>
      <c r="P46">
        <v>2</v>
      </c>
      <c r="Q46">
        <v>0</v>
      </c>
      <c r="R46">
        <v>0</v>
      </c>
      <c r="S46">
        <v>0</v>
      </c>
      <c r="T46">
        <v>0</v>
      </c>
      <c r="U46">
        <v>0</v>
      </c>
      <c r="V46">
        <v>9.3800000000000008</v>
      </c>
      <c r="W46">
        <v>0</v>
      </c>
      <c r="X46">
        <v>0</v>
      </c>
      <c r="Y46">
        <v>0</v>
      </c>
      <c r="Z46">
        <v>0</v>
      </c>
      <c r="AA46">
        <v>0</v>
      </c>
      <c r="AB46">
        <v>1.87</v>
      </c>
    </row>
    <row r="47" spans="1:28" x14ac:dyDescent="0.3">
      <c r="A47" s="1">
        <v>44075</v>
      </c>
      <c r="B47" t="s">
        <v>102</v>
      </c>
      <c r="C47">
        <v>2</v>
      </c>
      <c r="D47">
        <v>225.25</v>
      </c>
      <c r="E47">
        <v>0</v>
      </c>
      <c r="F47">
        <v>225.25</v>
      </c>
      <c r="G47">
        <v>1</v>
      </c>
      <c r="H47">
        <v>0</v>
      </c>
      <c r="I47">
        <v>6.76</v>
      </c>
      <c r="J47">
        <v>50</v>
      </c>
      <c r="K47">
        <v>338</v>
      </c>
      <c r="L47">
        <v>225.25</v>
      </c>
      <c r="M47">
        <v>742098</v>
      </c>
      <c r="N47" t="s">
        <v>103</v>
      </c>
      <c r="O47" t="s">
        <v>104</v>
      </c>
      <c r="P47">
        <v>1</v>
      </c>
      <c r="Q47">
        <v>0</v>
      </c>
      <c r="R47">
        <v>0</v>
      </c>
      <c r="S47">
        <v>0</v>
      </c>
      <c r="T47">
        <v>0</v>
      </c>
      <c r="U47">
        <v>0</v>
      </c>
      <c r="V47">
        <v>6.76</v>
      </c>
      <c r="W47">
        <v>0</v>
      </c>
      <c r="X47">
        <v>0</v>
      </c>
      <c r="Y47">
        <v>0</v>
      </c>
      <c r="Z47">
        <v>0</v>
      </c>
      <c r="AA47">
        <v>0</v>
      </c>
      <c r="AB47">
        <v>1.35</v>
      </c>
    </row>
    <row r="48" spans="1:28" x14ac:dyDescent="0.3">
      <c r="A48" s="1">
        <v>44075</v>
      </c>
      <c r="B48" t="s">
        <v>46</v>
      </c>
      <c r="C48">
        <v>12</v>
      </c>
      <c r="D48">
        <v>209.44</v>
      </c>
      <c r="E48">
        <v>0</v>
      </c>
      <c r="F48">
        <v>209.44</v>
      </c>
      <c r="G48">
        <v>1</v>
      </c>
      <c r="H48">
        <v>0</v>
      </c>
      <c r="I48">
        <v>6.28</v>
      </c>
      <c r="J48">
        <v>8.33</v>
      </c>
      <c r="K48">
        <v>52.33</v>
      </c>
      <c r="L48">
        <v>209.44</v>
      </c>
      <c r="M48">
        <v>445875</v>
      </c>
      <c r="N48" t="s">
        <v>47</v>
      </c>
      <c r="O48" t="s">
        <v>48</v>
      </c>
      <c r="P48">
        <v>1</v>
      </c>
      <c r="Q48">
        <v>0</v>
      </c>
      <c r="R48">
        <v>0</v>
      </c>
      <c r="S48">
        <v>0</v>
      </c>
      <c r="T48">
        <v>0</v>
      </c>
      <c r="U48">
        <v>0</v>
      </c>
      <c r="V48">
        <v>6.28</v>
      </c>
      <c r="W48">
        <v>0</v>
      </c>
      <c r="X48">
        <v>0</v>
      </c>
      <c r="Y48">
        <v>0</v>
      </c>
      <c r="Z48">
        <v>0</v>
      </c>
      <c r="AA48">
        <v>0</v>
      </c>
      <c r="AB48">
        <v>1.26</v>
      </c>
    </row>
    <row r="49" spans="1:28" x14ac:dyDescent="0.3">
      <c r="A49" s="1">
        <v>44075</v>
      </c>
      <c r="B49" t="s">
        <v>57</v>
      </c>
      <c r="C49">
        <v>11</v>
      </c>
      <c r="D49">
        <v>181.3</v>
      </c>
      <c r="E49">
        <v>0</v>
      </c>
      <c r="F49">
        <v>181.3</v>
      </c>
      <c r="G49">
        <v>1</v>
      </c>
      <c r="H49">
        <v>0</v>
      </c>
      <c r="I49">
        <v>5.44</v>
      </c>
      <c r="J49">
        <v>9.09</v>
      </c>
      <c r="K49">
        <v>49.45</v>
      </c>
      <c r="L49">
        <v>181.3</v>
      </c>
      <c r="M49">
        <v>2053730</v>
      </c>
      <c r="N49" t="s">
        <v>58</v>
      </c>
      <c r="O49" t="s">
        <v>59</v>
      </c>
      <c r="P49">
        <v>1</v>
      </c>
      <c r="Q49">
        <v>0</v>
      </c>
      <c r="R49">
        <v>0</v>
      </c>
      <c r="S49">
        <v>0</v>
      </c>
      <c r="T49">
        <v>0</v>
      </c>
      <c r="U49">
        <v>0</v>
      </c>
      <c r="V49">
        <v>5.44</v>
      </c>
      <c r="W49">
        <v>0</v>
      </c>
      <c r="X49">
        <v>0</v>
      </c>
      <c r="Y49">
        <v>0</v>
      </c>
      <c r="Z49">
        <v>0</v>
      </c>
      <c r="AA49">
        <v>0</v>
      </c>
      <c r="AB49">
        <v>1.0900000000000001</v>
      </c>
    </row>
    <row r="50" spans="1:28" x14ac:dyDescent="0.3">
      <c r="A50" s="1">
        <v>44075</v>
      </c>
      <c r="B50" t="s">
        <v>28</v>
      </c>
      <c r="C50">
        <v>120</v>
      </c>
      <c r="D50">
        <v>0</v>
      </c>
      <c r="E50">
        <v>0</v>
      </c>
      <c r="F50">
        <v>0</v>
      </c>
      <c r="G50">
        <v>0</v>
      </c>
      <c r="H50">
        <v>0</v>
      </c>
      <c r="I50">
        <v>0</v>
      </c>
      <c r="J50">
        <v>0</v>
      </c>
      <c r="K50">
        <v>0</v>
      </c>
      <c r="L50">
        <v>0</v>
      </c>
      <c r="M50">
        <v>314743</v>
      </c>
      <c r="N50" t="s">
        <v>29</v>
      </c>
      <c r="O50" t="s">
        <v>30</v>
      </c>
      <c r="P50">
        <v>0</v>
      </c>
      <c r="Q50">
        <v>0</v>
      </c>
      <c r="R50">
        <v>0</v>
      </c>
      <c r="S50">
        <v>0</v>
      </c>
      <c r="T50">
        <v>0</v>
      </c>
      <c r="U50">
        <v>0</v>
      </c>
      <c r="V50">
        <v>0</v>
      </c>
      <c r="W50">
        <v>0</v>
      </c>
      <c r="X50">
        <v>0</v>
      </c>
      <c r="Y50">
        <v>0</v>
      </c>
      <c r="Z50">
        <v>0</v>
      </c>
      <c r="AA50">
        <v>0</v>
      </c>
      <c r="AB50">
        <v>0</v>
      </c>
    </row>
    <row r="51" spans="1:28" x14ac:dyDescent="0.3">
      <c r="A51" s="1">
        <v>44075</v>
      </c>
      <c r="B51" t="s">
        <v>52</v>
      </c>
      <c r="C51">
        <v>56</v>
      </c>
      <c r="D51">
        <v>0</v>
      </c>
      <c r="E51">
        <v>0</v>
      </c>
      <c r="F51">
        <v>0</v>
      </c>
      <c r="G51">
        <v>0</v>
      </c>
      <c r="H51">
        <v>0</v>
      </c>
      <c r="I51">
        <v>0</v>
      </c>
      <c r="J51">
        <v>0</v>
      </c>
      <c r="K51">
        <v>0</v>
      </c>
      <c r="L51">
        <v>0</v>
      </c>
      <c r="M51">
        <v>1584217</v>
      </c>
      <c r="N51" t="s">
        <v>53</v>
      </c>
      <c r="O51" t="s">
        <v>54</v>
      </c>
      <c r="P51">
        <v>0</v>
      </c>
      <c r="Q51">
        <v>0</v>
      </c>
      <c r="R51">
        <v>0</v>
      </c>
      <c r="S51">
        <v>0</v>
      </c>
      <c r="T51">
        <v>0</v>
      </c>
      <c r="U51">
        <v>0</v>
      </c>
      <c r="V51">
        <v>0</v>
      </c>
      <c r="W51">
        <v>0</v>
      </c>
      <c r="X51">
        <v>0</v>
      </c>
      <c r="Y51">
        <v>0</v>
      </c>
      <c r="Z51">
        <v>0</v>
      </c>
      <c r="AA51">
        <v>0</v>
      </c>
      <c r="AB51">
        <v>0</v>
      </c>
    </row>
    <row r="52" spans="1:28" x14ac:dyDescent="0.3">
      <c r="A52" s="1">
        <v>44075</v>
      </c>
      <c r="B52" t="s">
        <v>49</v>
      </c>
      <c r="C52">
        <v>55</v>
      </c>
      <c r="D52">
        <v>0</v>
      </c>
      <c r="E52">
        <v>0</v>
      </c>
      <c r="F52">
        <v>0</v>
      </c>
      <c r="G52">
        <v>0</v>
      </c>
      <c r="H52">
        <v>0</v>
      </c>
      <c r="I52">
        <v>0</v>
      </c>
      <c r="J52">
        <v>0</v>
      </c>
      <c r="K52">
        <v>0</v>
      </c>
      <c r="L52">
        <v>0</v>
      </c>
      <c r="M52">
        <v>725033</v>
      </c>
      <c r="N52" t="s">
        <v>50</v>
      </c>
      <c r="O52" t="s">
        <v>51</v>
      </c>
      <c r="P52">
        <v>0</v>
      </c>
      <c r="Q52">
        <v>0</v>
      </c>
      <c r="R52">
        <v>0</v>
      </c>
      <c r="S52">
        <v>0</v>
      </c>
      <c r="T52">
        <v>0</v>
      </c>
      <c r="U52">
        <v>0</v>
      </c>
      <c r="V52">
        <v>0</v>
      </c>
      <c r="W52">
        <v>0</v>
      </c>
      <c r="X52">
        <v>0</v>
      </c>
      <c r="Y52">
        <v>0</v>
      </c>
      <c r="Z52">
        <v>0</v>
      </c>
      <c r="AA52">
        <v>0</v>
      </c>
      <c r="AB52">
        <v>0</v>
      </c>
    </row>
    <row r="53" spans="1:28" x14ac:dyDescent="0.3">
      <c r="A53" s="1">
        <v>44075</v>
      </c>
      <c r="B53" t="s">
        <v>40</v>
      </c>
      <c r="C53">
        <v>43</v>
      </c>
      <c r="D53">
        <v>0</v>
      </c>
      <c r="E53">
        <v>0</v>
      </c>
      <c r="F53">
        <v>0</v>
      </c>
      <c r="G53">
        <v>0</v>
      </c>
      <c r="H53">
        <v>0</v>
      </c>
      <c r="I53">
        <v>0</v>
      </c>
      <c r="J53">
        <v>0</v>
      </c>
      <c r="K53">
        <v>0</v>
      </c>
      <c r="L53">
        <v>0</v>
      </c>
      <c r="M53">
        <v>1088116</v>
      </c>
      <c r="N53" t="s">
        <v>41</v>
      </c>
      <c r="O53" t="s">
        <v>42</v>
      </c>
      <c r="P53">
        <v>0</v>
      </c>
      <c r="Q53">
        <v>0</v>
      </c>
      <c r="R53">
        <v>0</v>
      </c>
      <c r="S53">
        <v>0</v>
      </c>
      <c r="T53">
        <v>0</v>
      </c>
      <c r="U53">
        <v>0</v>
      </c>
      <c r="V53">
        <v>0</v>
      </c>
      <c r="W53">
        <v>0</v>
      </c>
      <c r="X53">
        <v>0</v>
      </c>
      <c r="Y53">
        <v>0</v>
      </c>
      <c r="Z53">
        <v>0</v>
      </c>
      <c r="AA53">
        <v>0</v>
      </c>
      <c r="AB53">
        <v>0</v>
      </c>
    </row>
    <row r="54" spans="1:28" x14ac:dyDescent="0.3">
      <c r="A54" s="1">
        <v>44075</v>
      </c>
      <c r="B54" t="s">
        <v>37</v>
      </c>
      <c r="C54">
        <v>24</v>
      </c>
      <c r="D54">
        <v>0</v>
      </c>
      <c r="E54">
        <v>0</v>
      </c>
      <c r="F54">
        <v>0</v>
      </c>
      <c r="G54">
        <v>0</v>
      </c>
      <c r="H54">
        <v>0</v>
      </c>
      <c r="I54">
        <v>0</v>
      </c>
      <c r="J54">
        <v>0</v>
      </c>
      <c r="K54">
        <v>0</v>
      </c>
      <c r="L54">
        <v>0</v>
      </c>
      <c r="M54">
        <v>201285</v>
      </c>
      <c r="N54" t="s">
        <v>38</v>
      </c>
      <c r="O54" t="s">
        <v>39</v>
      </c>
      <c r="P54">
        <v>0</v>
      </c>
      <c r="Q54">
        <v>0</v>
      </c>
      <c r="R54">
        <v>0</v>
      </c>
      <c r="S54">
        <v>0</v>
      </c>
      <c r="T54">
        <v>0</v>
      </c>
      <c r="U54">
        <v>0</v>
      </c>
      <c r="V54">
        <v>0</v>
      </c>
      <c r="W54">
        <v>0</v>
      </c>
      <c r="X54">
        <v>0</v>
      </c>
      <c r="Y54">
        <v>0</v>
      </c>
      <c r="Z54">
        <v>0</v>
      </c>
      <c r="AA54">
        <v>0</v>
      </c>
      <c r="AB54">
        <v>0</v>
      </c>
    </row>
    <row r="55" spans="1:28" x14ac:dyDescent="0.3">
      <c r="A55" s="1">
        <v>44075</v>
      </c>
      <c r="B55" t="s">
        <v>55</v>
      </c>
      <c r="C55">
        <v>19</v>
      </c>
      <c r="D55">
        <v>0</v>
      </c>
      <c r="E55">
        <v>0</v>
      </c>
      <c r="F55">
        <v>0</v>
      </c>
      <c r="G55">
        <v>0</v>
      </c>
      <c r="H55">
        <v>0</v>
      </c>
      <c r="I55">
        <v>0</v>
      </c>
      <c r="J55">
        <v>0</v>
      </c>
      <c r="K55">
        <v>0</v>
      </c>
      <c r="L55">
        <v>0</v>
      </c>
      <c r="M55">
        <v>1773960</v>
      </c>
      <c r="N55" t="s">
        <v>35</v>
      </c>
      <c r="O55" t="s">
        <v>56</v>
      </c>
      <c r="P55">
        <v>0</v>
      </c>
      <c r="Q55">
        <v>0</v>
      </c>
      <c r="R55">
        <v>0</v>
      </c>
      <c r="S55">
        <v>0</v>
      </c>
      <c r="T55">
        <v>0</v>
      </c>
      <c r="U55">
        <v>0</v>
      </c>
      <c r="V55">
        <v>0</v>
      </c>
      <c r="W55">
        <v>0</v>
      </c>
      <c r="X55">
        <v>0</v>
      </c>
      <c r="Y55">
        <v>0</v>
      </c>
      <c r="Z55">
        <v>0</v>
      </c>
      <c r="AA55">
        <v>0</v>
      </c>
      <c r="AB55">
        <v>0</v>
      </c>
    </row>
    <row r="56" spans="1:28" x14ac:dyDescent="0.3">
      <c r="A56" s="1">
        <v>44075</v>
      </c>
      <c r="B56" t="s">
        <v>60</v>
      </c>
      <c r="C56">
        <v>6</v>
      </c>
      <c r="D56">
        <v>0</v>
      </c>
      <c r="E56">
        <v>0</v>
      </c>
      <c r="F56">
        <v>0</v>
      </c>
      <c r="G56">
        <v>0</v>
      </c>
      <c r="H56">
        <v>0</v>
      </c>
      <c r="I56">
        <v>0</v>
      </c>
      <c r="J56">
        <v>0</v>
      </c>
      <c r="K56">
        <v>0</v>
      </c>
      <c r="L56">
        <v>0</v>
      </c>
      <c r="M56">
        <v>748814</v>
      </c>
      <c r="N56" t="s">
        <v>61</v>
      </c>
      <c r="O56" t="s">
        <v>62</v>
      </c>
      <c r="P56">
        <v>0</v>
      </c>
      <c r="Q56">
        <v>0</v>
      </c>
      <c r="R56">
        <v>0</v>
      </c>
      <c r="S56">
        <v>0</v>
      </c>
      <c r="T56">
        <v>0</v>
      </c>
      <c r="U56">
        <v>0</v>
      </c>
      <c r="V56">
        <v>0</v>
      </c>
      <c r="W56">
        <v>0</v>
      </c>
      <c r="X56">
        <v>0</v>
      </c>
      <c r="Y56">
        <v>0</v>
      </c>
      <c r="Z56">
        <v>0</v>
      </c>
      <c r="AA56">
        <v>0</v>
      </c>
      <c r="AB56">
        <v>0</v>
      </c>
    </row>
    <row r="57" spans="1:28" x14ac:dyDescent="0.3">
      <c r="A57" s="1">
        <v>44075</v>
      </c>
      <c r="B57" t="s">
        <v>78</v>
      </c>
      <c r="C57">
        <v>6</v>
      </c>
      <c r="D57">
        <v>0</v>
      </c>
      <c r="E57">
        <v>0</v>
      </c>
      <c r="F57">
        <v>0</v>
      </c>
      <c r="G57">
        <v>0</v>
      </c>
      <c r="H57">
        <v>0</v>
      </c>
      <c r="I57">
        <v>0</v>
      </c>
      <c r="J57">
        <v>0</v>
      </c>
      <c r="K57">
        <v>0</v>
      </c>
      <c r="L57">
        <v>0</v>
      </c>
      <c r="M57">
        <v>1014069</v>
      </c>
      <c r="N57" t="s">
        <v>79</v>
      </c>
      <c r="O57" t="s">
        <v>80</v>
      </c>
      <c r="P57">
        <v>0</v>
      </c>
      <c r="Q57">
        <v>0</v>
      </c>
      <c r="R57">
        <v>0</v>
      </c>
      <c r="S57">
        <v>0</v>
      </c>
      <c r="T57">
        <v>0</v>
      </c>
      <c r="U57">
        <v>0</v>
      </c>
      <c r="V57">
        <v>0</v>
      </c>
      <c r="W57">
        <v>0</v>
      </c>
      <c r="X57">
        <v>0</v>
      </c>
      <c r="Y57">
        <v>0</v>
      </c>
      <c r="Z57">
        <v>0</v>
      </c>
      <c r="AA57">
        <v>0</v>
      </c>
      <c r="AB57">
        <v>0</v>
      </c>
    </row>
    <row r="58" spans="1:28" x14ac:dyDescent="0.3">
      <c r="A58" s="1">
        <v>44075</v>
      </c>
      <c r="B58" t="s">
        <v>66</v>
      </c>
      <c r="C58">
        <v>5</v>
      </c>
      <c r="D58">
        <v>0</v>
      </c>
      <c r="E58">
        <v>0</v>
      </c>
      <c r="F58">
        <v>0</v>
      </c>
      <c r="G58">
        <v>0</v>
      </c>
      <c r="H58">
        <v>0</v>
      </c>
      <c r="I58">
        <v>0</v>
      </c>
      <c r="J58">
        <v>0</v>
      </c>
      <c r="K58">
        <v>0</v>
      </c>
      <c r="L58">
        <v>0</v>
      </c>
      <c r="M58">
        <v>1413766</v>
      </c>
      <c r="N58" t="s">
        <v>67</v>
      </c>
      <c r="O58" t="s">
        <v>68</v>
      </c>
      <c r="P58">
        <v>0</v>
      </c>
      <c r="Q58">
        <v>0</v>
      </c>
      <c r="R58">
        <v>0</v>
      </c>
      <c r="S58">
        <v>0</v>
      </c>
      <c r="T58">
        <v>0</v>
      </c>
      <c r="U58">
        <v>0</v>
      </c>
      <c r="V58">
        <v>0</v>
      </c>
      <c r="W58">
        <v>0</v>
      </c>
      <c r="X58">
        <v>0</v>
      </c>
      <c r="Y58">
        <v>0</v>
      </c>
      <c r="Z58">
        <v>0</v>
      </c>
      <c r="AA58">
        <v>0</v>
      </c>
      <c r="AB58">
        <v>0</v>
      </c>
    </row>
    <row r="59" spans="1:28" x14ac:dyDescent="0.3">
      <c r="A59" s="1">
        <v>44075</v>
      </c>
      <c r="B59" t="s">
        <v>90</v>
      </c>
      <c r="C59">
        <v>4</v>
      </c>
      <c r="D59">
        <v>0</v>
      </c>
      <c r="E59">
        <v>0</v>
      </c>
      <c r="F59">
        <v>0</v>
      </c>
      <c r="G59">
        <v>0</v>
      </c>
      <c r="H59">
        <v>0</v>
      </c>
      <c r="I59">
        <v>0</v>
      </c>
      <c r="J59">
        <v>0</v>
      </c>
      <c r="K59">
        <v>0</v>
      </c>
      <c r="L59">
        <v>0</v>
      </c>
      <c r="M59">
        <v>136482</v>
      </c>
      <c r="N59" t="s">
        <v>91</v>
      </c>
      <c r="O59" t="s">
        <v>92</v>
      </c>
      <c r="P59">
        <v>0</v>
      </c>
      <c r="Q59">
        <v>0</v>
      </c>
      <c r="R59">
        <v>0</v>
      </c>
      <c r="S59">
        <v>0</v>
      </c>
      <c r="T59">
        <v>0</v>
      </c>
      <c r="U59">
        <v>0</v>
      </c>
      <c r="V59">
        <v>0</v>
      </c>
      <c r="W59">
        <v>0</v>
      </c>
      <c r="X59">
        <v>0</v>
      </c>
      <c r="Y59">
        <v>0</v>
      </c>
      <c r="Z59">
        <v>0</v>
      </c>
      <c r="AA59">
        <v>0</v>
      </c>
      <c r="AB59">
        <v>0</v>
      </c>
    </row>
    <row r="60" spans="1:28" x14ac:dyDescent="0.3">
      <c r="A60" s="1">
        <v>44075</v>
      </c>
      <c r="B60" t="s">
        <v>75</v>
      </c>
      <c r="C60">
        <v>4</v>
      </c>
      <c r="D60">
        <v>0</v>
      </c>
      <c r="E60">
        <v>0</v>
      </c>
      <c r="F60">
        <v>0</v>
      </c>
      <c r="G60">
        <v>0</v>
      </c>
      <c r="H60">
        <v>0</v>
      </c>
      <c r="I60">
        <v>0</v>
      </c>
      <c r="J60">
        <v>0</v>
      </c>
      <c r="K60">
        <v>0</v>
      </c>
      <c r="L60">
        <v>0</v>
      </c>
      <c r="M60">
        <v>745788</v>
      </c>
      <c r="N60" t="s">
        <v>76</v>
      </c>
      <c r="O60" t="s">
        <v>77</v>
      </c>
      <c r="P60">
        <v>0</v>
      </c>
      <c r="Q60">
        <v>0</v>
      </c>
      <c r="R60">
        <v>0</v>
      </c>
      <c r="S60">
        <v>0</v>
      </c>
      <c r="T60">
        <v>0</v>
      </c>
      <c r="U60">
        <v>0</v>
      </c>
      <c r="V60">
        <v>0</v>
      </c>
      <c r="W60">
        <v>0</v>
      </c>
      <c r="X60">
        <v>0</v>
      </c>
      <c r="Y60">
        <v>0</v>
      </c>
      <c r="Z60">
        <v>0</v>
      </c>
      <c r="AA60">
        <v>0</v>
      </c>
      <c r="AB60">
        <v>0</v>
      </c>
    </row>
    <row r="61" spans="1:28" x14ac:dyDescent="0.3">
      <c r="A61" s="1">
        <v>44075</v>
      </c>
      <c r="B61" t="s">
        <v>72</v>
      </c>
      <c r="C61">
        <v>3</v>
      </c>
      <c r="D61">
        <v>0</v>
      </c>
      <c r="E61">
        <v>0</v>
      </c>
      <c r="F61">
        <v>0</v>
      </c>
      <c r="G61">
        <v>0</v>
      </c>
      <c r="H61">
        <v>0</v>
      </c>
      <c r="I61">
        <v>0</v>
      </c>
      <c r="J61">
        <v>0</v>
      </c>
      <c r="K61">
        <v>0</v>
      </c>
      <c r="L61">
        <v>0</v>
      </c>
      <c r="M61">
        <v>514792</v>
      </c>
      <c r="N61" t="s">
        <v>73</v>
      </c>
      <c r="O61" t="s">
        <v>74</v>
      </c>
      <c r="P61">
        <v>0</v>
      </c>
      <c r="Q61">
        <v>0</v>
      </c>
      <c r="R61">
        <v>0</v>
      </c>
      <c r="S61">
        <v>0</v>
      </c>
      <c r="T61">
        <v>0</v>
      </c>
      <c r="U61">
        <v>0</v>
      </c>
      <c r="V61">
        <v>0</v>
      </c>
      <c r="W61">
        <v>0</v>
      </c>
      <c r="X61">
        <v>0</v>
      </c>
      <c r="Y61">
        <v>0</v>
      </c>
      <c r="Z61">
        <v>0</v>
      </c>
      <c r="AA61">
        <v>0</v>
      </c>
      <c r="AB61">
        <v>0</v>
      </c>
    </row>
    <row r="62" spans="1:28" x14ac:dyDescent="0.3">
      <c r="A62" s="1">
        <v>44075</v>
      </c>
      <c r="B62" t="s">
        <v>84</v>
      </c>
      <c r="C62">
        <v>3</v>
      </c>
      <c r="D62">
        <v>0</v>
      </c>
      <c r="E62">
        <v>0</v>
      </c>
      <c r="F62">
        <v>0</v>
      </c>
      <c r="G62">
        <v>0</v>
      </c>
      <c r="H62">
        <v>0</v>
      </c>
      <c r="I62">
        <v>0</v>
      </c>
      <c r="J62">
        <v>0</v>
      </c>
      <c r="K62">
        <v>0</v>
      </c>
      <c r="L62">
        <v>0</v>
      </c>
      <c r="M62">
        <v>1242889</v>
      </c>
      <c r="N62" t="s">
        <v>85</v>
      </c>
      <c r="O62" t="s">
        <v>86</v>
      </c>
      <c r="P62">
        <v>0</v>
      </c>
      <c r="Q62">
        <v>0</v>
      </c>
      <c r="R62">
        <v>0</v>
      </c>
      <c r="S62">
        <v>0</v>
      </c>
      <c r="T62">
        <v>0</v>
      </c>
      <c r="U62">
        <v>0</v>
      </c>
      <c r="V62">
        <v>0</v>
      </c>
      <c r="W62">
        <v>0</v>
      </c>
      <c r="X62">
        <v>0</v>
      </c>
      <c r="Y62">
        <v>0</v>
      </c>
      <c r="Z62">
        <v>0</v>
      </c>
      <c r="AA62">
        <v>0</v>
      </c>
      <c r="AB62">
        <v>0</v>
      </c>
    </row>
    <row r="63" spans="1:28" x14ac:dyDescent="0.3">
      <c r="A63" s="1">
        <v>44075</v>
      </c>
      <c r="B63" t="s">
        <v>87</v>
      </c>
      <c r="C63">
        <v>3</v>
      </c>
      <c r="D63">
        <v>0</v>
      </c>
      <c r="E63">
        <v>0</v>
      </c>
      <c r="F63">
        <v>0</v>
      </c>
      <c r="G63">
        <v>0</v>
      </c>
      <c r="H63">
        <v>0</v>
      </c>
      <c r="I63">
        <v>0</v>
      </c>
      <c r="J63">
        <v>0</v>
      </c>
      <c r="K63">
        <v>0</v>
      </c>
      <c r="L63">
        <v>0</v>
      </c>
      <c r="M63">
        <v>1519404</v>
      </c>
      <c r="N63" t="s">
        <v>88</v>
      </c>
      <c r="O63" t="s">
        <v>89</v>
      </c>
      <c r="P63">
        <v>0</v>
      </c>
      <c r="Q63">
        <v>0</v>
      </c>
      <c r="R63">
        <v>0</v>
      </c>
      <c r="S63">
        <v>0</v>
      </c>
      <c r="T63">
        <v>0</v>
      </c>
      <c r="U63">
        <v>0</v>
      </c>
      <c r="V63">
        <v>0</v>
      </c>
      <c r="W63">
        <v>0</v>
      </c>
      <c r="X63">
        <v>0</v>
      </c>
      <c r="Y63">
        <v>0</v>
      </c>
      <c r="Z63">
        <v>0</v>
      </c>
      <c r="AA63">
        <v>0</v>
      </c>
      <c r="AB63">
        <v>0</v>
      </c>
    </row>
    <row r="64" spans="1:28" x14ac:dyDescent="0.3">
      <c r="A64" s="1">
        <v>44075</v>
      </c>
      <c r="B64" t="s">
        <v>138</v>
      </c>
      <c r="C64">
        <v>3</v>
      </c>
      <c r="D64">
        <v>0</v>
      </c>
      <c r="E64">
        <v>0</v>
      </c>
      <c r="F64">
        <v>0</v>
      </c>
      <c r="G64">
        <v>0</v>
      </c>
      <c r="H64">
        <v>0</v>
      </c>
      <c r="I64">
        <v>0</v>
      </c>
      <c r="J64">
        <v>0</v>
      </c>
      <c r="K64">
        <v>0</v>
      </c>
      <c r="L64">
        <v>0</v>
      </c>
      <c r="M64">
        <v>1578665</v>
      </c>
      <c r="N64" t="s">
        <v>139</v>
      </c>
      <c r="O64" t="s">
        <v>140</v>
      </c>
      <c r="P64">
        <v>0</v>
      </c>
      <c r="Q64">
        <v>0</v>
      </c>
      <c r="R64">
        <v>0</v>
      </c>
      <c r="S64">
        <v>0</v>
      </c>
      <c r="T64">
        <v>0</v>
      </c>
      <c r="U64">
        <v>0</v>
      </c>
      <c r="V64">
        <v>0</v>
      </c>
      <c r="W64">
        <v>0</v>
      </c>
      <c r="X64">
        <v>0</v>
      </c>
      <c r="Y64">
        <v>0</v>
      </c>
      <c r="Z64">
        <v>0</v>
      </c>
      <c r="AA64">
        <v>0</v>
      </c>
      <c r="AB64">
        <v>0</v>
      </c>
    </row>
    <row r="65" spans="1:28" x14ac:dyDescent="0.3">
      <c r="A65" s="1">
        <v>44075</v>
      </c>
      <c r="B65" t="s">
        <v>249</v>
      </c>
      <c r="C65">
        <v>3</v>
      </c>
      <c r="D65">
        <v>0</v>
      </c>
      <c r="E65">
        <v>0</v>
      </c>
      <c r="F65">
        <v>0</v>
      </c>
      <c r="G65">
        <v>0</v>
      </c>
      <c r="H65">
        <v>0</v>
      </c>
      <c r="I65">
        <v>0</v>
      </c>
      <c r="J65">
        <v>0</v>
      </c>
      <c r="K65">
        <v>0</v>
      </c>
      <c r="L65">
        <v>0</v>
      </c>
      <c r="M65">
        <v>2159987</v>
      </c>
      <c r="N65" t="s">
        <v>250</v>
      </c>
      <c r="O65" t="s">
        <v>251</v>
      </c>
      <c r="P65">
        <v>0</v>
      </c>
      <c r="Q65">
        <v>0</v>
      </c>
      <c r="R65">
        <v>0</v>
      </c>
      <c r="S65">
        <v>0</v>
      </c>
      <c r="T65">
        <v>0</v>
      </c>
      <c r="U65">
        <v>0</v>
      </c>
      <c r="V65">
        <v>0</v>
      </c>
      <c r="W65">
        <v>0</v>
      </c>
      <c r="X65">
        <v>0</v>
      </c>
      <c r="Y65">
        <v>0</v>
      </c>
      <c r="Z65">
        <v>0</v>
      </c>
      <c r="AA65">
        <v>0</v>
      </c>
      <c r="AB65">
        <v>0</v>
      </c>
    </row>
    <row r="66" spans="1:28" x14ac:dyDescent="0.3">
      <c r="A66" s="1">
        <v>44075</v>
      </c>
      <c r="B66" t="s">
        <v>195</v>
      </c>
      <c r="C66">
        <v>3</v>
      </c>
      <c r="D66">
        <v>0</v>
      </c>
      <c r="E66">
        <v>0</v>
      </c>
      <c r="F66">
        <v>0</v>
      </c>
      <c r="G66">
        <v>0</v>
      </c>
      <c r="H66">
        <v>0</v>
      </c>
      <c r="I66">
        <v>0</v>
      </c>
      <c r="J66">
        <v>0</v>
      </c>
      <c r="K66">
        <v>0</v>
      </c>
      <c r="L66">
        <v>0</v>
      </c>
      <c r="M66">
        <v>2182271</v>
      </c>
      <c r="N66" t="s">
        <v>196</v>
      </c>
      <c r="O66" t="s">
        <v>197</v>
      </c>
      <c r="P66">
        <v>0</v>
      </c>
      <c r="Q66">
        <v>0</v>
      </c>
      <c r="R66">
        <v>0</v>
      </c>
      <c r="S66">
        <v>0</v>
      </c>
      <c r="T66">
        <v>0</v>
      </c>
      <c r="U66">
        <v>0</v>
      </c>
      <c r="V66">
        <v>0</v>
      </c>
      <c r="W66">
        <v>0</v>
      </c>
      <c r="X66">
        <v>0</v>
      </c>
      <c r="Y66">
        <v>0</v>
      </c>
      <c r="Z66">
        <v>0</v>
      </c>
      <c r="AA66">
        <v>0</v>
      </c>
      <c r="AB66">
        <v>0</v>
      </c>
    </row>
    <row r="67" spans="1:28" x14ac:dyDescent="0.3">
      <c r="A67" s="1">
        <v>44075</v>
      </c>
      <c r="B67" t="s">
        <v>123</v>
      </c>
      <c r="C67">
        <v>2</v>
      </c>
      <c r="D67">
        <v>0</v>
      </c>
      <c r="E67">
        <v>0</v>
      </c>
      <c r="F67">
        <v>0</v>
      </c>
      <c r="G67">
        <v>0</v>
      </c>
      <c r="H67">
        <v>0</v>
      </c>
      <c r="I67">
        <v>0</v>
      </c>
      <c r="J67">
        <v>0</v>
      </c>
      <c r="K67">
        <v>0</v>
      </c>
      <c r="L67">
        <v>0</v>
      </c>
      <c r="M67">
        <v>213636</v>
      </c>
      <c r="N67" t="s">
        <v>124</v>
      </c>
      <c r="O67" t="s">
        <v>125</v>
      </c>
      <c r="P67">
        <v>0</v>
      </c>
      <c r="Q67">
        <v>0</v>
      </c>
      <c r="R67">
        <v>0</v>
      </c>
      <c r="S67">
        <v>0</v>
      </c>
      <c r="T67">
        <v>0</v>
      </c>
      <c r="U67">
        <v>0</v>
      </c>
      <c r="V67">
        <v>0</v>
      </c>
      <c r="W67">
        <v>0</v>
      </c>
      <c r="X67">
        <v>0</v>
      </c>
      <c r="Y67">
        <v>0</v>
      </c>
      <c r="Z67">
        <v>0</v>
      </c>
      <c r="AA67">
        <v>0</v>
      </c>
      <c r="AB67">
        <v>0</v>
      </c>
    </row>
    <row r="68" spans="1:28" x14ac:dyDescent="0.3">
      <c r="A68" s="1">
        <v>44075</v>
      </c>
      <c r="B68" t="s">
        <v>129</v>
      </c>
      <c r="C68">
        <v>2</v>
      </c>
      <c r="D68">
        <v>0</v>
      </c>
      <c r="E68">
        <v>0</v>
      </c>
      <c r="F68">
        <v>0</v>
      </c>
      <c r="G68">
        <v>0</v>
      </c>
      <c r="H68">
        <v>0</v>
      </c>
      <c r="I68">
        <v>0</v>
      </c>
      <c r="J68">
        <v>0</v>
      </c>
      <c r="K68">
        <v>0</v>
      </c>
      <c r="L68">
        <v>0</v>
      </c>
      <c r="M68">
        <v>1140999</v>
      </c>
      <c r="N68" t="s">
        <v>130</v>
      </c>
      <c r="O68" t="s">
        <v>131</v>
      </c>
      <c r="P68">
        <v>0</v>
      </c>
      <c r="Q68">
        <v>0</v>
      </c>
      <c r="R68">
        <v>0</v>
      </c>
      <c r="S68">
        <v>0</v>
      </c>
      <c r="T68">
        <v>0</v>
      </c>
      <c r="U68">
        <v>0</v>
      </c>
      <c r="V68">
        <v>0</v>
      </c>
      <c r="W68">
        <v>0</v>
      </c>
      <c r="X68">
        <v>0</v>
      </c>
      <c r="Y68">
        <v>0</v>
      </c>
      <c r="Z68">
        <v>0</v>
      </c>
      <c r="AA68">
        <v>0</v>
      </c>
      <c r="AB68">
        <v>0</v>
      </c>
    </row>
    <row r="69" spans="1:28" x14ac:dyDescent="0.3">
      <c r="A69" s="1">
        <v>44075</v>
      </c>
      <c r="B69" t="s">
        <v>81</v>
      </c>
      <c r="C69">
        <v>2</v>
      </c>
      <c r="D69">
        <v>0</v>
      </c>
      <c r="E69">
        <v>0</v>
      </c>
      <c r="F69">
        <v>0</v>
      </c>
      <c r="G69">
        <v>0</v>
      </c>
      <c r="H69">
        <v>0</v>
      </c>
      <c r="I69">
        <v>0</v>
      </c>
      <c r="J69">
        <v>0</v>
      </c>
      <c r="K69">
        <v>0</v>
      </c>
      <c r="L69">
        <v>0</v>
      </c>
      <c r="M69">
        <v>1225169</v>
      </c>
      <c r="N69" t="s">
        <v>82</v>
      </c>
      <c r="O69" t="s">
        <v>83</v>
      </c>
      <c r="P69">
        <v>0</v>
      </c>
      <c r="Q69">
        <v>0</v>
      </c>
      <c r="R69">
        <v>0</v>
      </c>
      <c r="S69">
        <v>0</v>
      </c>
      <c r="T69">
        <v>0</v>
      </c>
      <c r="U69">
        <v>0</v>
      </c>
      <c r="V69">
        <v>0</v>
      </c>
      <c r="W69">
        <v>0</v>
      </c>
      <c r="X69">
        <v>0</v>
      </c>
      <c r="Y69">
        <v>0</v>
      </c>
      <c r="Z69">
        <v>0</v>
      </c>
      <c r="AA69">
        <v>0</v>
      </c>
      <c r="AB69">
        <v>0</v>
      </c>
    </row>
    <row r="70" spans="1:28" x14ac:dyDescent="0.3">
      <c r="A70" s="1">
        <v>44075</v>
      </c>
      <c r="B70" t="s">
        <v>96</v>
      </c>
      <c r="C70">
        <v>2</v>
      </c>
      <c r="D70">
        <v>0</v>
      </c>
      <c r="E70">
        <v>0</v>
      </c>
      <c r="F70">
        <v>0</v>
      </c>
      <c r="G70">
        <v>0</v>
      </c>
      <c r="H70">
        <v>0</v>
      </c>
      <c r="I70">
        <v>0</v>
      </c>
      <c r="J70">
        <v>0</v>
      </c>
      <c r="K70">
        <v>0</v>
      </c>
      <c r="L70">
        <v>0</v>
      </c>
      <c r="M70">
        <v>1372745</v>
      </c>
      <c r="N70" t="s">
        <v>97</v>
      </c>
      <c r="O70" t="s">
        <v>98</v>
      </c>
      <c r="P70">
        <v>0</v>
      </c>
      <c r="Q70">
        <v>0</v>
      </c>
      <c r="R70">
        <v>0</v>
      </c>
      <c r="S70">
        <v>0</v>
      </c>
      <c r="T70">
        <v>0</v>
      </c>
      <c r="U70">
        <v>0</v>
      </c>
      <c r="V70">
        <v>0</v>
      </c>
      <c r="W70">
        <v>0</v>
      </c>
      <c r="X70">
        <v>0</v>
      </c>
      <c r="Y70">
        <v>0</v>
      </c>
      <c r="Z70">
        <v>0</v>
      </c>
      <c r="AA70">
        <v>0</v>
      </c>
      <c r="AB70">
        <v>0</v>
      </c>
    </row>
    <row r="71" spans="1:28" x14ac:dyDescent="0.3">
      <c r="A71" s="1">
        <v>44075</v>
      </c>
      <c r="B71" t="s">
        <v>159</v>
      </c>
      <c r="C71">
        <v>2</v>
      </c>
      <c r="D71">
        <v>0</v>
      </c>
      <c r="E71">
        <v>0</v>
      </c>
      <c r="F71">
        <v>0</v>
      </c>
      <c r="G71">
        <v>0</v>
      </c>
      <c r="H71">
        <v>0</v>
      </c>
      <c r="I71">
        <v>0</v>
      </c>
      <c r="J71">
        <v>0</v>
      </c>
      <c r="K71">
        <v>0</v>
      </c>
      <c r="L71">
        <v>0</v>
      </c>
      <c r="M71">
        <v>2029250</v>
      </c>
      <c r="N71" t="s">
        <v>160</v>
      </c>
      <c r="O71" t="s">
        <v>161</v>
      </c>
      <c r="P71">
        <v>0</v>
      </c>
      <c r="Q71">
        <v>0</v>
      </c>
      <c r="R71">
        <v>0</v>
      </c>
      <c r="S71">
        <v>0</v>
      </c>
      <c r="T71">
        <v>0</v>
      </c>
      <c r="U71">
        <v>0</v>
      </c>
      <c r="V71">
        <v>0</v>
      </c>
      <c r="W71">
        <v>0</v>
      </c>
      <c r="X71">
        <v>0</v>
      </c>
      <c r="Y71">
        <v>0</v>
      </c>
      <c r="Z71">
        <v>0</v>
      </c>
      <c r="AA71">
        <v>0</v>
      </c>
      <c r="AB71">
        <v>0</v>
      </c>
    </row>
    <row r="72" spans="1:28" x14ac:dyDescent="0.3">
      <c r="A72" s="1">
        <v>44075</v>
      </c>
      <c r="B72" t="s">
        <v>234</v>
      </c>
      <c r="C72">
        <v>2</v>
      </c>
      <c r="D72">
        <v>0</v>
      </c>
      <c r="E72">
        <v>0</v>
      </c>
      <c r="F72">
        <v>0</v>
      </c>
      <c r="G72">
        <v>0</v>
      </c>
      <c r="H72">
        <v>0</v>
      </c>
      <c r="I72">
        <v>0</v>
      </c>
      <c r="J72">
        <v>0</v>
      </c>
      <c r="K72">
        <v>0</v>
      </c>
      <c r="L72">
        <v>0</v>
      </c>
      <c r="M72">
        <v>2243506</v>
      </c>
      <c r="N72" t="s">
        <v>235</v>
      </c>
      <c r="O72" t="s">
        <v>236</v>
      </c>
      <c r="P72">
        <v>0</v>
      </c>
      <c r="Q72">
        <v>0</v>
      </c>
      <c r="R72">
        <v>0</v>
      </c>
      <c r="S72">
        <v>0</v>
      </c>
      <c r="T72">
        <v>0</v>
      </c>
      <c r="U72">
        <v>0</v>
      </c>
      <c r="V72">
        <v>0</v>
      </c>
      <c r="W72">
        <v>0</v>
      </c>
      <c r="X72">
        <v>0</v>
      </c>
      <c r="Y72">
        <v>0</v>
      </c>
      <c r="Z72">
        <v>0</v>
      </c>
      <c r="AA72">
        <v>0</v>
      </c>
      <c r="AB72">
        <v>0</v>
      </c>
    </row>
    <row r="73" spans="1:28" x14ac:dyDescent="0.3">
      <c r="A73" s="1">
        <v>44075</v>
      </c>
      <c r="B73" t="s">
        <v>120</v>
      </c>
      <c r="C73">
        <v>1</v>
      </c>
      <c r="D73">
        <v>0</v>
      </c>
      <c r="E73">
        <v>0</v>
      </c>
      <c r="F73">
        <v>0</v>
      </c>
      <c r="G73">
        <v>0</v>
      </c>
      <c r="H73">
        <v>0</v>
      </c>
      <c r="I73">
        <v>0</v>
      </c>
      <c r="J73">
        <v>0</v>
      </c>
      <c r="K73">
        <v>0</v>
      </c>
      <c r="L73">
        <v>0</v>
      </c>
      <c r="M73">
        <v>154911</v>
      </c>
      <c r="N73" t="s">
        <v>121</v>
      </c>
      <c r="O73" t="s">
        <v>122</v>
      </c>
      <c r="P73">
        <v>0</v>
      </c>
      <c r="Q73">
        <v>0</v>
      </c>
      <c r="R73">
        <v>0</v>
      </c>
      <c r="S73">
        <v>0</v>
      </c>
      <c r="T73">
        <v>0</v>
      </c>
      <c r="U73">
        <v>0</v>
      </c>
      <c r="V73">
        <v>0</v>
      </c>
      <c r="W73">
        <v>0</v>
      </c>
      <c r="X73">
        <v>0</v>
      </c>
      <c r="Y73">
        <v>0</v>
      </c>
      <c r="Z73">
        <v>0</v>
      </c>
      <c r="AA73">
        <v>0</v>
      </c>
      <c r="AB73">
        <v>0</v>
      </c>
    </row>
    <row r="74" spans="1:28" x14ac:dyDescent="0.3">
      <c r="A74" s="1">
        <v>44075</v>
      </c>
      <c r="B74" t="s">
        <v>126</v>
      </c>
      <c r="C74">
        <v>1</v>
      </c>
      <c r="D74">
        <v>0</v>
      </c>
      <c r="E74">
        <v>0</v>
      </c>
      <c r="F74">
        <v>0</v>
      </c>
      <c r="G74">
        <v>0</v>
      </c>
      <c r="H74">
        <v>0</v>
      </c>
      <c r="I74">
        <v>0</v>
      </c>
      <c r="J74">
        <v>0</v>
      </c>
      <c r="K74">
        <v>0</v>
      </c>
      <c r="L74">
        <v>0</v>
      </c>
      <c r="M74">
        <v>318676</v>
      </c>
      <c r="N74" t="s">
        <v>127</v>
      </c>
      <c r="O74" t="s">
        <v>128</v>
      </c>
      <c r="P74">
        <v>0</v>
      </c>
      <c r="Q74">
        <v>0</v>
      </c>
      <c r="R74">
        <v>0</v>
      </c>
      <c r="S74">
        <v>0</v>
      </c>
      <c r="T74">
        <v>0</v>
      </c>
      <c r="U74">
        <v>0</v>
      </c>
      <c r="V74">
        <v>0</v>
      </c>
      <c r="W74">
        <v>0</v>
      </c>
      <c r="X74">
        <v>0</v>
      </c>
      <c r="Y74">
        <v>0</v>
      </c>
      <c r="Z74">
        <v>0</v>
      </c>
      <c r="AA74">
        <v>0</v>
      </c>
      <c r="AB74">
        <v>0</v>
      </c>
    </row>
    <row r="75" spans="1:28" x14ac:dyDescent="0.3">
      <c r="A75" s="1">
        <v>44075</v>
      </c>
      <c r="B75" t="s">
        <v>252</v>
      </c>
      <c r="C75">
        <v>1</v>
      </c>
      <c r="D75">
        <v>0</v>
      </c>
      <c r="E75">
        <v>0</v>
      </c>
      <c r="F75">
        <v>0</v>
      </c>
      <c r="G75">
        <v>0</v>
      </c>
      <c r="H75">
        <v>0</v>
      </c>
      <c r="I75">
        <v>0</v>
      </c>
      <c r="J75">
        <v>0</v>
      </c>
      <c r="K75">
        <v>0</v>
      </c>
      <c r="L75">
        <v>0</v>
      </c>
      <c r="M75">
        <v>534553</v>
      </c>
      <c r="N75" t="s">
        <v>253</v>
      </c>
      <c r="O75" t="s">
        <v>254</v>
      </c>
      <c r="P75">
        <v>0</v>
      </c>
      <c r="Q75">
        <v>0</v>
      </c>
      <c r="R75">
        <v>0</v>
      </c>
      <c r="S75">
        <v>0</v>
      </c>
      <c r="T75">
        <v>0</v>
      </c>
      <c r="U75">
        <v>0</v>
      </c>
      <c r="V75">
        <v>0</v>
      </c>
      <c r="W75">
        <v>0</v>
      </c>
      <c r="X75">
        <v>0</v>
      </c>
      <c r="Y75">
        <v>0</v>
      </c>
      <c r="Z75">
        <v>0</v>
      </c>
      <c r="AA75">
        <v>0</v>
      </c>
      <c r="AB75">
        <v>0</v>
      </c>
    </row>
    <row r="76" spans="1:28" x14ac:dyDescent="0.3">
      <c r="A76" s="1">
        <v>44075</v>
      </c>
      <c r="B76" t="s">
        <v>162</v>
      </c>
      <c r="C76">
        <v>1</v>
      </c>
      <c r="D76">
        <v>0</v>
      </c>
      <c r="E76">
        <v>0</v>
      </c>
      <c r="F76">
        <v>0</v>
      </c>
      <c r="G76">
        <v>0</v>
      </c>
      <c r="H76">
        <v>0</v>
      </c>
      <c r="I76">
        <v>0</v>
      </c>
      <c r="J76">
        <v>0</v>
      </c>
      <c r="K76">
        <v>0</v>
      </c>
      <c r="L76">
        <v>0</v>
      </c>
      <c r="M76">
        <v>708786</v>
      </c>
      <c r="N76" t="s">
        <v>163</v>
      </c>
      <c r="O76" t="s">
        <v>164</v>
      </c>
      <c r="P76">
        <v>0</v>
      </c>
      <c r="Q76">
        <v>0</v>
      </c>
      <c r="R76">
        <v>0</v>
      </c>
      <c r="S76">
        <v>0</v>
      </c>
      <c r="T76">
        <v>0</v>
      </c>
      <c r="U76">
        <v>0</v>
      </c>
      <c r="V76">
        <v>0</v>
      </c>
      <c r="W76">
        <v>0</v>
      </c>
      <c r="X76">
        <v>0</v>
      </c>
      <c r="Y76">
        <v>0</v>
      </c>
      <c r="Z76">
        <v>0</v>
      </c>
      <c r="AA76">
        <v>0</v>
      </c>
      <c r="AB76">
        <v>0</v>
      </c>
    </row>
    <row r="77" spans="1:28" x14ac:dyDescent="0.3">
      <c r="A77" s="1">
        <v>44075</v>
      </c>
      <c r="B77" t="s">
        <v>105</v>
      </c>
      <c r="C77">
        <v>1</v>
      </c>
      <c r="D77">
        <v>0</v>
      </c>
      <c r="E77">
        <v>0</v>
      </c>
      <c r="F77">
        <v>0</v>
      </c>
      <c r="G77">
        <v>0</v>
      </c>
      <c r="H77">
        <v>0</v>
      </c>
      <c r="I77">
        <v>0</v>
      </c>
      <c r="J77">
        <v>0</v>
      </c>
      <c r="K77">
        <v>0</v>
      </c>
      <c r="L77">
        <v>0</v>
      </c>
      <c r="M77">
        <v>930703</v>
      </c>
      <c r="N77" t="s">
        <v>106</v>
      </c>
      <c r="O77" t="s">
        <v>107</v>
      </c>
      <c r="P77">
        <v>0</v>
      </c>
      <c r="Q77">
        <v>0</v>
      </c>
      <c r="R77">
        <v>0</v>
      </c>
      <c r="S77">
        <v>0</v>
      </c>
      <c r="T77">
        <v>0</v>
      </c>
      <c r="U77">
        <v>0</v>
      </c>
      <c r="V77">
        <v>0</v>
      </c>
      <c r="W77">
        <v>0</v>
      </c>
      <c r="X77">
        <v>0</v>
      </c>
      <c r="Y77">
        <v>0</v>
      </c>
      <c r="Z77">
        <v>0</v>
      </c>
      <c r="AA77">
        <v>0</v>
      </c>
      <c r="AB77">
        <v>0</v>
      </c>
    </row>
    <row r="78" spans="1:28" x14ac:dyDescent="0.3">
      <c r="A78" s="1">
        <v>44075</v>
      </c>
      <c r="B78" t="s">
        <v>255</v>
      </c>
      <c r="C78">
        <v>1</v>
      </c>
      <c r="D78">
        <v>0</v>
      </c>
      <c r="E78">
        <v>0</v>
      </c>
      <c r="F78">
        <v>0</v>
      </c>
      <c r="G78">
        <v>0</v>
      </c>
      <c r="H78">
        <v>0</v>
      </c>
      <c r="I78">
        <v>0</v>
      </c>
      <c r="J78">
        <v>0</v>
      </c>
      <c r="K78">
        <v>0</v>
      </c>
      <c r="L78">
        <v>0</v>
      </c>
      <c r="M78">
        <v>992267</v>
      </c>
      <c r="N78" t="s">
        <v>256</v>
      </c>
      <c r="O78" t="s">
        <v>257</v>
      </c>
      <c r="P78">
        <v>0</v>
      </c>
      <c r="Q78">
        <v>0</v>
      </c>
      <c r="R78">
        <v>0</v>
      </c>
      <c r="S78">
        <v>0</v>
      </c>
      <c r="T78">
        <v>0</v>
      </c>
      <c r="U78">
        <v>0</v>
      </c>
      <c r="V78">
        <v>0</v>
      </c>
      <c r="W78">
        <v>0</v>
      </c>
      <c r="X78">
        <v>0</v>
      </c>
      <c r="Y78">
        <v>0</v>
      </c>
      <c r="Z78">
        <v>0</v>
      </c>
      <c r="AA78">
        <v>0</v>
      </c>
      <c r="AB78">
        <v>0</v>
      </c>
    </row>
    <row r="79" spans="1:28" x14ac:dyDescent="0.3">
      <c r="A79" s="1">
        <v>44075</v>
      </c>
      <c r="B79" t="s">
        <v>132</v>
      </c>
      <c r="C79">
        <v>1</v>
      </c>
      <c r="D79">
        <v>0</v>
      </c>
      <c r="E79">
        <v>0</v>
      </c>
      <c r="F79">
        <v>0</v>
      </c>
      <c r="G79">
        <v>0</v>
      </c>
      <c r="H79">
        <v>0</v>
      </c>
      <c r="I79">
        <v>0</v>
      </c>
      <c r="J79">
        <v>0</v>
      </c>
      <c r="K79">
        <v>0</v>
      </c>
      <c r="L79">
        <v>0</v>
      </c>
      <c r="M79">
        <v>1375544</v>
      </c>
      <c r="N79" t="s">
        <v>133</v>
      </c>
      <c r="O79" t="s">
        <v>134</v>
      </c>
      <c r="P79">
        <v>0</v>
      </c>
      <c r="Q79">
        <v>0</v>
      </c>
      <c r="R79">
        <v>0</v>
      </c>
      <c r="S79">
        <v>0</v>
      </c>
      <c r="T79">
        <v>0</v>
      </c>
      <c r="U79">
        <v>0</v>
      </c>
      <c r="V79">
        <v>0</v>
      </c>
      <c r="W79">
        <v>0</v>
      </c>
      <c r="X79">
        <v>0</v>
      </c>
      <c r="Y79">
        <v>0</v>
      </c>
      <c r="Z79">
        <v>0</v>
      </c>
      <c r="AA79">
        <v>0</v>
      </c>
      <c r="AB79">
        <v>0</v>
      </c>
    </row>
    <row r="80" spans="1:28" x14ac:dyDescent="0.3">
      <c r="A80" s="1">
        <v>44075</v>
      </c>
      <c r="B80" t="s">
        <v>213</v>
      </c>
      <c r="C80">
        <v>1</v>
      </c>
      <c r="D80">
        <v>0</v>
      </c>
      <c r="E80">
        <v>0</v>
      </c>
      <c r="F80">
        <v>0</v>
      </c>
      <c r="G80">
        <v>0</v>
      </c>
      <c r="H80">
        <v>0</v>
      </c>
      <c r="I80">
        <v>0</v>
      </c>
      <c r="J80">
        <v>0</v>
      </c>
      <c r="K80">
        <v>0</v>
      </c>
      <c r="L80">
        <v>0</v>
      </c>
      <c r="M80">
        <v>1418817</v>
      </c>
      <c r="N80" t="s">
        <v>214</v>
      </c>
      <c r="O80" t="s">
        <v>215</v>
      </c>
      <c r="P80">
        <v>0</v>
      </c>
      <c r="Q80">
        <v>0</v>
      </c>
      <c r="R80">
        <v>0</v>
      </c>
      <c r="S80">
        <v>0</v>
      </c>
      <c r="T80">
        <v>0</v>
      </c>
      <c r="U80">
        <v>0</v>
      </c>
      <c r="V80">
        <v>0</v>
      </c>
      <c r="W80">
        <v>0</v>
      </c>
      <c r="X80">
        <v>0</v>
      </c>
      <c r="Y80">
        <v>0</v>
      </c>
      <c r="Z80">
        <v>0</v>
      </c>
      <c r="AA80">
        <v>0</v>
      </c>
      <c r="AB80">
        <v>0</v>
      </c>
    </row>
    <row r="81" spans="1:28" x14ac:dyDescent="0.3">
      <c r="A81" s="1">
        <v>44075</v>
      </c>
      <c r="B81" t="s">
        <v>31</v>
      </c>
      <c r="C81">
        <v>1</v>
      </c>
      <c r="D81">
        <v>0</v>
      </c>
      <c r="E81">
        <v>0</v>
      </c>
      <c r="F81">
        <v>0</v>
      </c>
      <c r="G81">
        <v>0</v>
      </c>
      <c r="H81">
        <v>0</v>
      </c>
      <c r="I81">
        <v>0</v>
      </c>
      <c r="J81">
        <v>0</v>
      </c>
      <c r="K81">
        <v>0</v>
      </c>
      <c r="L81">
        <v>0</v>
      </c>
      <c r="M81">
        <v>1663605</v>
      </c>
      <c r="N81" t="s">
        <v>32</v>
      </c>
      <c r="O81" t="s">
        <v>33</v>
      </c>
      <c r="P81">
        <v>0</v>
      </c>
      <c r="Q81">
        <v>0</v>
      </c>
      <c r="R81">
        <v>0</v>
      </c>
      <c r="S81">
        <v>0</v>
      </c>
      <c r="T81">
        <v>0</v>
      </c>
      <c r="U81">
        <v>0</v>
      </c>
      <c r="V81">
        <v>0</v>
      </c>
      <c r="W81">
        <v>0</v>
      </c>
      <c r="X81">
        <v>0</v>
      </c>
      <c r="Y81">
        <v>0</v>
      </c>
      <c r="Z81">
        <v>0</v>
      </c>
      <c r="AA81">
        <v>0</v>
      </c>
      <c r="AB81">
        <v>0</v>
      </c>
    </row>
    <row r="82" spans="1:28" x14ac:dyDescent="0.3">
      <c r="A82" s="1">
        <v>44075</v>
      </c>
      <c r="B82" t="s">
        <v>156</v>
      </c>
      <c r="C82">
        <v>1</v>
      </c>
      <c r="D82">
        <v>0</v>
      </c>
      <c r="E82">
        <v>0</v>
      </c>
      <c r="F82">
        <v>0</v>
      </c>
      <c r="G82">
        <v>0</v>
      </c>
      <c r="H82">
        <v>0</v>
      </c>
      <c r="I82">
        <v>0</v>
      </c>
      <c r="J82">
        <v>0</v>
      </c>
      <c r="K82">
        <v>0</v>
      </c>
      <c r="L82">
        <v>0</v>
      </c>
      <c r="M82">
        <v>1738672</v>
      </c>
      <c r="N82" t="s">
        <v>157</v>
      </c>
      <c r="O82" t="s">
        <v>158</v>
      </c>
      <c r="P82">
        <v>0</v>
      </c>
      <c r="Q82">
        <v>0</v>
      </c>
      <c r="R82">
        <v>0</v>
      </c>
      <c r="S82">
        <v>0</v>
      </c>
      <c r="T82">
        <v>0</v>
      </c>
      <c r="U82">
        <v>0</v>
      </c>
      <c r="V82">
        <v>0</v>
      </c>
      <c r="W82">
        <v>0</v>
      </c>
      <c r="X82">
        <v>0</v>
      </c>
      <c r="Y82">
        <v>0</v>
      </c>
      <c r="Z82">
        <v>0</v>
      </c>
      <c r="AA82">
        <v>0</v>
      </c>
      <c r="AB82">
        <v>0</v>
      </c>
    </row>
    <row r="83" spans="1:28" x14ac:dyDescent="0.3">
      <c r="A83" s="1">
        <v>44075</v>
      </c>
      <c r="B83" t="s">
        <v>258</v>
      </c>
      <c r="C83">
        <v>1</v>
      </c>
      <c r="D83">
        <v>0</v>
      </c>
      <c r="E83">
        <v>0</v>
      </c>
      <c r="F83">
        <v>0</v>
      </c>
      <c r="G83">
        <v>0</v>
      </c>
      <c r="H83">
        <v>0</v>
      </c>
      <c r="I83">
        <v>0</v>
      </c>
      <c r="J83">
        <v>0</v>
      </c>
      <c r="K83">
        <v>0</v>
      </c>
      <c r="L83">
        <v>0</v>
      </c>
      <c r="M83">
        <v>2017970</v>
      </c>
      <c r="N83" t="s">
        <v>259</v>
      </c>
      <c r="O83" t="s">
        <v>260</v>
      </c>
      <c r="P83">
        <v>0</v>
      </c>
      <c r="Q83">
        <v>0</v>
      </c>
      <c r="R83">
        <v>0</v>
      </c>
      <c r="S83">
        <v>0</v>
      </c>
      <c r="T83">
        <v>0</v>
      </c>
      <c r="U83">
        <v>0</v>
      </c>
      <c r="V83">
        <v>0</v>
      </c>
      <c r="W83">
        <v>0</v>
      </c>
      <c r="X83">
        <v>0</v>
      </c>
      <c r="Y83">
        <v>0</v>
      </c>
      <c r="Z83">
        <v>0</v>
      </c>
      <c r="AA83">
        <v>0</v>
      </c>
      <c r="AB83">
        <v>0</v>
      </c>
    </row>
    <row r="84" spans="1:28" x14ac:dyDescent="0.3">
      <c r="A84" s="1">
        <v>44075</v>
      </c>
      <c r="B84" t="s">
        <v>147</v>
      </c>
      <c r="C84">
        <v>1</v>
      </c>
      <c r="D84">
        <v>0</v>
      </c>
      <c r="E84">
        <v>0</v>
      </c>
      <c r="F84">
        <v>0</v>
      </c>
      <c r="G84">
        <v>0</v>
      </c>
      <c r="H84">
        <v>0</v>
      </c>
      <c r="I84">
        <v>0</v>
      </c>
      <c r="J84">
        <v>0</v>
      </c>
      <c r="K84">
        <v>0</v>
      </c>
      <c r="L84">
        <v>0</v>
      </c>
      <c r="M84">
        <v>2075116</v>
      </c>
      <c r="N84" t="s">
        <v>148</v>
      </c>
      <c r="O84" t="s">
        <v>149</v>
      </c>
      <c r="P84">
        <v>0</v>
      </c>
      <c r="Q84">
        <v>0</v>
      </c>
      <c r="R84">
        <v>0</v>
      </c>
      <c r="S84">
        <v>0</v>
      </c>
      <c r="T84">
        <v>0</v>
      </c>
      <c r="U84">
        <v>0</v>
      </c>
      <c r="V84">
        <v>0</v>
      </c>
      <c r="W84">
        <v>0</v>
      </c>
      <c r="X84">
        <v>0</v>
      </c>
      <c r="Y84">
        <v>0</v>
      </c>
      <c r="Z84">
        <v>0</v>
      </c>
      <c r="AA84">
        <v>0</v>
      </c>
      <c r="AB84">
        <v>0</v>
      </c>
    </row>
    <row r="85" spans="1:28" x14ac:dyDescent="0.3">
      <c r="A85" s="1">
        <v>44076</v>
      </c>
      <c r="B85" t="s">
        <v>28</v>
      </c>
      <c r="C85">
        <v>119</v>
      </c>
      <c r="D85">
        <v>287.3</v>
      </c>
      <c r="E85">
        <v>0</v>
      </c>
      <c r="F85">
        <v>287.3</v>
      </c>
      <c r="G85">
        <v>3</v>
      </c>
      <c r="H85">
        <v>0</v>
      </c>
      <c r="I85">
        <v>43.1</v>
      </c>
      <c r="J85">
        <v>2.52</v>
      </c>
      <c r="K85">
        <v>36.22</v>
      </c>
      <c r="L85">
        <v>95.77</v>
      </c>
      <c r="M85">
        <v>314743</v>
      </c>
      <c r="N85" t="s">
        <v>29</v>
      </c>
      <c r="O85" t="s">
        <v>30</v>
      </c>
      <c r="P85">
        <v>3</v>
      </c>
      <c r="Q85">
        <v>0</v>
      </c>
      <c r="R85">
        <v>0</v>
      </c>
      <c r="S85">
        <v>0</v>
      </c>
      <c r="T85">
        <v>0</v>
      </c>
      <c r="U85">
        <v>0</v>
      </c>
      <c r="V85">
        <v>43.1</v>
      </c>
      <c r="W85">
        <v>0</v>
      </c>
      <c r="X85">
        <v>0</v>
      </c>
      <c r="Y85">
        <v>0</v>
      </c>
      <c r="Z85">
        <v>0</v>
      </c>
      <c r="AA85">
        <v>0</v>
      </c>
      <c r="AB85">
        <v>8.6199999999999992</v>
      </c>
    </row>
    <row r="86" spans="1:28" x14ac:dyDescent="0.3">
      <c r="A86" s="1">
        <v>44076</v>
      </c>
      <c r="B86" t="s">
        <v>40</v>
      </c>
      <c r="C86">
        <v>68</v>
      </c>
      <c r="D86">
        <v>139.30000000000001</v>
      </c>
      <c r="E86">
        <v>0</v>
      </c>
      <c r="F86">
        <v>139.30000000000001</v>
      </c>
      <c r="G86">
        <v>1</v>
      </c>
      <c r="H86">
        <v>0</v>
      </c>
      <c r="I86">
        <v>27.86</v>
      </c>
      <c r="J86">
        <v>1.47</v>
      </c>
      <c r="K86">
        <v>40.97</v>
      </c>
      <c r="L86">
        <v>139.30000000000001</v>
      </c>
      <c r="M86">
        <v>1088116</v>
      </c>
      <c r="N86" t="s">
        <v>41</v>
      </c>
      <c r="O86" t="s">
        <v>42</v>
      </c>
      <c r="P86">
        <v>1</v>
      </c>
      <c r="Q86">
        <v>0</v>
      </c>
      <c r="R86">
        <v>0</v>
      </c>
      <c r="S86">
        <v>0</v>
      </c>
      <c r="T86">
        <v>0</v>
      </c>
      <c r="U86">
        <v>0</v>
      </c>
      <c r="V86">
        <v>27.86</v>
      </c>
      <c r="W86">
        <v>0</v>
      </c>
      <c r="X86">
        <v>0</v>
      </c>
      <c r="Y86">
        <v>0</v>
      </c>
      <c r="Z86">
        <v>0</v>
      </c>
      <c r="AA86">
        <v>0</v>
      </c>
      <c r="AB86">
        <v>5.57</v>
      </c>
    </row>
    <row r="87" spans="1:28" x14ac:dyDescent="0.3">
      <c r="A87" s="1">
        <v>44076</v>
      </c>
      <c r="B87" t="s">
        <v>37</v>
      </c>
      <c r="C87">
        <v>28</v>
      </c>
      <c r="D87">
        <v>355.6</v>
      </c>
      <c r="E87">
        <v>0</v>
      </c>
      <c r="F87">
        <v>355.6</v>
      </c>
      <c r="G87">
        <v>1</v>
      </c>
      <c r="H87">
        <v>0</v>
      </c>
      <c r="I87">
        <v>10.67</v>
      </c>
      <c r="J87">
        <v>3.57</v>
      </c>
      <c r="K87">
        <v>38.11</v>
      </c>
      <c r="L87">
        <v>355.6</v>
      </c>
      <c r="M87">
        <v>201285</v>
      </c>
      <c r="N87" t="s">
        <v>38</v>
      </c>
      <c r="O87" t="s">
        <v>39</v>
      </c>
      <c r="P87">
        <v>1</v>
      </c>
      <c r="Q87">
        <v>0</v>
      </c>
      <c r="R87">
        <v>0</v>
      </c>
      <c r="S87">
        <v>0</v>
      </c>
      <c r="T87">
        <v>0</v>
      </c>
      <c r="U87">
        <v>0</v>
      </c>
      <c r="V87">
        <v>10.67</v>
      </c>
      <c r="W87">
        <v>0</v>
      </c>
      <c r="X87">
        <v>0</v>
      </c>
      <c r="Y87">
        <v>0</v>
      </c>
      <c r="Z87">
        <v>0</v>
      </c>
      <c r="AA87">
        <v>0</v>
      </c>
      <c r="AB87">
        <v>2.13</v>
      </c>
    </row>
    <row r="88" spans="1:28" x14ac:dyDescent="0.3">
      <c r="A88" s="1">
        <v>44076</v>
      </c>
      <c r="B88" t="s">
        <v>49</v>
      </c>
      <c r="C88">
        <v>47</v>
      </c>
      <c r="D88">
        <v>207.2</v>
      </c>
      <c r="E88">
        <v>0</v>
      </c>
      <c r="F88">
        <v>207.2</v>
      </c>
      <c r="G88">
        <v>1</v>
      </c>
      <c r="H88">
        <v>0</v>
      </c>
      <c r="I88">
        <v>6.22</v>
      </c>
      <c r="J88">
        <v>2.13</v>
      </c>
      <c r="K88">
        <v>13.23</v>
      </c>
      <c r="L88">
        <v>207.2</v>
      </c>
      <c r="M88">
        <v>725033</v>
      </c>
      <c r="N88" t="s">
        <v>50</v>
      </c>
      <c r="O88" t="s">
        <v>51</v>
      </c>
      <c r="P88">
        <v>1</v>
      </c>
      <c r="Q88">
        <v>0</v>
      </c>
      <c r="R88">
        <v>0</v>
      </c>
      <c r="S88">
        <v>0</v>
      </c>
      <c r="T88">
        <v>0</v>
      </c>
      <c r="U88">
        <v>0</v>
      </c>
      <c r="V88">
        <v>6.22</v>
      </c>
      <c r="W88">
        <v>0</v>
      </c>
      <c r="X88">
        <v>0</v>
      </c>
      <c r="Y88">
        <v>0</v>
      </c>
      <c r="Z88">
        <v>0</v>
      </c>
      <c r="AA88">
        <v>0</v>
      </c>
      <c r="AB88">
        <v>1.24</v>
      </c>
    </row>
    <row r="89" spans="1:28" x14ac:dyDescent="0.3">
      <c r="A89" s="1">
        <v>44076</v>
      </c>
      <c r="B89" t="s">
        <v>46</v>
      </c>
      <c r="C89">
        <v>12</v>
      </c>
      <c r="D89">
        <v>185.5</v>
      </c>
      <c r="E89">
        <v>0</v>
      </c>
      <c r="F89">
        <v>185.5</v>
      </c>
      <c r="G89">
        <v>1</v>
      </c>
      <c r="H89">
        <v>0</v>
      </c>
      <c r="I89">
        <v>5.56</v>
      </c>
      <c r="J89">
        <v>8.33</v>
      </c>
      <c r="K89">
        <v>46.33</v>
      </c>
      <c r="L89">
        <v>185.5</v>
      </c>
      <c r="M89">
        <v>445875</v>
      </c>
      <c r="N89" t="s">
        <v>47</v>
      </c>
      <c r="O89" t="s">
        <v>48</v>
      </c>
      <c r="P89">
        <v>1</v>
      </c>
      <c r="Q89">
        <v>0</v>
      </c>
      <c r="R89">
        <v>0</v>
      </c>
      <c r="S89">
        <v>0</v>
      </c>
      <c r="T89">
        <v>0</v>
      </c>
      <c r="U89">
        <v>0</v>
      </c>
      <c r="V89">
        <v>5.56</v>
      </c>
      <c r="W89">
        <v>0</v>
      </c>
      <c r="X89">
        <v>0</v>
      </c>
      <c r="Y89">
        <v>0</v>
      </c>
      <c r="Z89">
        <v>0</v>
      </c>
      <c r="AA89">
        <v>0</v>
      </c>
      <c r="AB89">
        <v>1.1100000000000001</v>
      </c>
    </row>
    <row r="90" spans="1:28" x14ac:dyDescent="0.3">
      <c r="A90" s="1">
        <v>44076</v>
      </c>
      <c r="B90" t="s">
        <v>90</v>
      </c>
      <c r="C90">
        <v>2</v>
      </c>
      <c r="D90">
        <v>174.3</v>
      </c>
      <c r="E90">
        <v>0</v>
      </c>
      <c r="F90">
        <v>174.3</v>
      </c>
      <c r="G90">
        <v>1</v>
      </c>
      <c r="H90">
        <v>0</v>
      </c>
      <c r="I90">
        <v>5.23</v>
      </c>
      <c r="J90">
        <v>50</v>
      </c>
      <c r="K90">
        <v>261.5</v>
      </c>
      <c r="L90">
        <v>174.3</v>
      </c>
      <c r="M90">
        <v>136482</v>
      </c>
      <c r="N90" t="s">
        <v>91</v>
      </c>
      <c r="O90" t="s">
        <v>92</v>
      </c>
      <c r="P90">
        <v>1</v>
      </c>
      <c r="Q90">
        <v>0</v>
      </c>
      <c r="R90">
        <v>0</v>
      </c>
      <c r="S90">
        <v>0</v>
      </c>
      <c r="T90">
        <v>0</v>
      </c>
      <c r="U90">
        <v>0</v>
      </c>
      <c r="V90">
        <v>5.23</v>
      </c>
      <c r="W90">
        <v>0</v>
      </c>
      <c r="X90">
        <v>0</v>
      </c>
      <c r="Y90">
        <v>0</v>
      </c>
      <c r="Z90">
        <v>0</v>
      </c>
      <c r="AA90">
        <v>0</v>
      </c>
      <c r="AB90">
        <v>1.05</v>
      </c>
    </row>
    <row r="91" spans="1:28" x14ac:dyDescent="0.3">
      <c r="A91" s="1">
        <v>44076</v>
      </c>
      <c r="B91" t="s">
        <v>132</v>
      </c>
      <c r="C91">
        <v>2</v>
      </c>
      <c r="D91">
        <v>174.3</v>
      </c>
      <c r="E91">
        <v>0</v>
      </c>
      <c r="F91">
        <v>174.3</v>
      </c>
      <c r="G91">
        <v>1</v>
      </c>
      <c r="H91">
        <v>0</v>
      </c>
      <c r="I91">
        <v>5.23</v>
      </c>
      <c r="J91">
        <v>50</v>
      </c>
      <c r="K91">
        <v>261.5</v>
      </c>
      <c r="L91">
        <v>174.3</v>
      </c>
      <c r="M91">
        <v>1375544</v>
      </c>
      <c r="N91" t="s">
        <v>133</v>
      </c>
      <c r="O91" t="s">
        <v>134</v>
      </c>
      <c r="P91">
        <v>1</v>
      </c>
      <c r="Q91">
        <v>0</v>
      </c>
      <c r="R91">
        <v>0</v>
      </c>
      <c r="S91">
        <v>0</v>
      </c>
      <c r="T91">
        <v>0</v>
      </c>
      <c r="U91">
        <v>0</v>
      </c>
      <c r="V91">
        <v>5.23</v>
      </c>
      <c r="W91">
        <v>0</v>
      </c>
      <c r="X91">
        <v>0</v>
      </c>
      <c r="Y91">
        <v>0</v>
      </c>
      <c r="Z91">
        <v>0</v>
      </c>
      <c r="AA91">
        <v>0</v>
      </c>
      <c r="AB91">
        <v>1.05</v>
      </c>
    </row>
    <row r="92" spans="1:28" x14ac:dyDescent="0.3">
      <c r="A92" s="1">
        <v>44076</v>
      </c>
      <c r="B92" t="s">
        <v>57</v>
      </c>
      <c r="C92">
        <v>9</v>
      </c>
      <c r="D92">
        <v>150</v>
      </c>
      <c r="E92">
        <v>0</v>
      </c>
      <c r="F92">
        <v>150</v>
      </c>
      <c r="G92">
        <v>1</v>
      </c>
      <c r="H92">
        <v>0</v>
      </c>
      <c r="I92">
        <v>4.5</v>
      </c>
      <c r="J92">
        <v>11.11</v>
      </c>
      <c r="K92">
        <v>50</v>
      </c>
      <c r="L92">
        <v>150</v>
      </c>
      <c r="M92">
        <v>2053730</v>
      </c>
      <c r="N92" t="s">
        <v>58</v>
      </c>
      <c r="O92" t="s">
        <v>59</v>
      </c>
      <c r="P92">
        <v>1</v>
      </c>
      <c r="Q92">
        <v>0</v>
      </c>
      <c r="R92">
        <v>0</v>
      </c>
      <c r="S92">
        <v>0</v>
      </c>
      <c r="T92">
        <v>0</v>
      </c>
      <c r="U92">
        <v>0</v>
      </c>
      <c r="V92">
        <v>4.5</v>
      </c>
      <c r="W92">
        <v>0</v>
      </c>
      <c r="X92">
        <v>0</v>
      </c>
      <c r="Y92">
        <v>0</v>
      </c>
      <c r="Z92">
        <v>0</v>
      </c>
      <c r="AA92">
        <v>0</v>
      </c>
      <c r="AB92">
        <v>0.9</v>
      </c>
    </row>
    <row r="93" spans="1:28" x14ac:dyDescent="0.3">
      <c r="A93" s="1">
        <v>44076</v>
      </c>
      <c r="B93" t="s">
        <v>52</v>
      </c>
      <c r="C93">
        <v>46</v>
      </c>
      <c r="D93">
        <v>0</v>
      </c>
      <c r="E93">
        <v>0</v>
      </c>
      <c r="F93">
        <v>0</v>
      </c>
      <c r="G93">
        <v>0</v>
      </c>
      <c r="H93">
        <v>0</v>
      </c>
      <c r="I93">
        <v>0</v>
      </c>
      <c r="J93">
        <v>0</v>
      </c>
      <c r="K93">
        <v>0</v>
      </c>
      <c r="L93">
        <v>0</v>
      </c>
      <c r="M93">
        <v>1584217</v>
      </c>
      <c r="N93" t="s">
        <v>53</v>
      </c>
      <c r="O93" t="s">
        <v>54</v>
      </c>
      <c r="P93">
        <v>0</v>
      </c>
      <c r="Q93">
        <v>0</v>
      </c>
      <c r="R93">
        <v>0</v>
      </c>
      <c r="S93">
        <v>0</v>
      </c>
      <c r="T93">
        <v>0</v>
      </c>
      <c r="U93">
        <v>0</v>
      </c>
      <c r="V93">
        <v>0</v>
      </c>
      <c r="W93">
        <v>0</v>
      </c>
      <c r="X93">
        <v>0</v>
      </c>
      <c r="Y93">
        <v>0</v>
      </c>
      <c r="Z93">
        <v>0</v>
      </c>
      <c r="AA93">
        <v>0</v>
      </c>
      <c r="AB93">
        <v>0</v>
      </c>
    </row>
    <row r="94" spans="1:28" x14ac:dyDescent="0.3">
      <c r="A94" s="1">
        <v>44076</v>
      </c>
      <c r="B94" t="s">
        <v>43</v>
      </c>
      <c r="C94">
        <v>16</v>
      </c>
      <c r="D94">
        <v>0</v>
      </c>
      <c r="E94">
        <v>0</v>
      </c>
      <c r="F94">
        <v>0</v>
      </c>
      <c r="G94">
        <v>0</v>
      </c>
      <c r="H94">
        <v>0</v>
      </c>
      <c r="I94">
        <v>0</v>
      </c>
      <c r="J94">
        <v>0</v>
      </c>
      <c r="K94">
        <v>0</v>
      </c>
      <c r="L94">
        <v>0</v>
      </c>
      <c r="M94">
        <v>389818</v>
      </c>
      <c r="N94" t="s">
        <v>44</v>
      </c>
      <c r="O94" t="s">
        <v>45</v>
      </c>
      <c r="P94">
        <v>0</v>
      </c>
      <c r="Q94">
        <v>0</v>
      </c>
      <c r="R94">
        <v>0</v>
      </c>
      <c r="S94">
        <v>0</v>
      </c>
      <c r="T94">
        <v>0</v>
      </c>
      <c r="U94">
        <v>0</v>
      </c>
      <c r="V94">
        <v>0</v>
      </c>
      <c r="W94">
        <v>0</v>
      </c>
      <c r="X94">
        <v>0</v>
      </c>
      <c r="Y94">
        <v>0</v>
      </c>
      <c r="Z94">
        <v>0</v>
      </c>
      <c r="AA94">
        <v>0</v>
      </c>
      <c r="AB94">
        <v>0</v>
      </c>
    </row>
    <row r="95" spans="1:28" x14ac:dyDescent="0.3">
      <c r="A95" s="1">
        <v>44076</v>
      </c>
      <c r="B95" t="s">
        <v>55</v>
      </c>
      <c r="C95">
        <v>14</v>
      </c>
      <c r="D95">
        <v>0</v>
      </c>
      <c r="E95">
        <v>0</v>
      </c>
      <c r="F95">
        <v>0</v>
      </c>
      <c r="G95">
        <v>0</v>
      </c>
      <c r="H95">
        <v>0</v>
      </c>
      <c r="I95">
        <v>0</v>
      </c>
      <c r="J95">
        <v>0</v>
      </c>
      <c r="K95">
        <v>0</v>
      </c>
      <c r="L95">
        <v>0</v>
      </c>
      <c r="M95">
        <v>1773960</v>
      </c>
      <c r="N95" t="s">
        <v>35</v>
      </c>
      <c r="O95" t="s">
        <v>56</v>
      </c>
      <c r="P95">
        <v>0</v>
      </c>
      <c r="Q95">
        <v>0</v>
      </c>
      <c r="R95">
        <v>0</v>
      </c>
      <c r="S95">
        <v>0</v>
      </c>
      <c r="T95">
        <v>0</v>
      </c>
      <c r="U95">
        <v>0</v>
      </c>
      <c r="V95">
        <v>0</v>
      </c>
      <c r="W95">
        <v>0</v>
      </c>
      <c r="X95">
        <v>0</v>
      </c>
      <c r="Y95">
        <v>0</v>
      </c>
      <c r="Z95">
        <v>0</v>
      </c>
      <c r="AA95">
        <v>0</v>
      </c>
      <c r="AB95">
        <v>0</v>
      </c>
    </row>
    <row r="96" spans="1:28" x14ac:dyDescent="0.3">
      <c r="A96" s="1">
        <v>44076</v>
      </c>
      <c r="B96" t="s">
        <v>34</v>
      </c>
      <c r="C96">
        <v>12</v>
      </c>
      <c r="D96">
        <v>0</v>
      </c>
      <c r="E96">
        <v>0</v>
      </c>
      <c r="F96">
        <v>0</v>
      </c>
      <c r="G96">
        <v>0</v>
      </c>
      <c r="H96">
        <v>0</v>
      </c>
      <c r="I96">
        <v>0</v>
      </c>
      <c r="J96">
        <v>0</v>
      </c>
      <c r="K96">
        <v>0</v>
      </c>
      <c r="L96">
        <v>0</v>
      </c>
      <c r="M96">
        <v>2284878</v>
      </c>
      <c r="N96" t="s">
        <v>35</v>
      </c>
      <c r="O96" t="s">
        <v>36</v>
      </c>
      <c r="P96">
        <v>0</v>
      </c>
      <c r="Q96">
        <v>0</v>
      </c>
      <c r="R96">
        <v>0</v>
      </c>
      <c r="S96">
        <v>0</v>
      </c>
      <c r="T96">
        <v>0</v>
      </c>
      <c r="U96">
        <v>0</v>
      </c>
      <c r="V96">
        <v>0</v>
      </c>
      <c r="W96">
        <v>0</v>
      </c>
      <c r="X96">
        <v>0</v>
      </c>
      <c r="Y96">
        <v>0</v>
      </c>
      <c r="Z96">
        <v>0</v>
      </c>
      <c r="AA96">
        <v>0</v>
      </c>
      <c r="AB96">
        <v>0</v>
      </c>
    </row>
    <row r="97" spans="1:28" x14ac:dyDescent="0.3">
      <c r="A97" s="1">
        <v>44076</v>
      </c>
      <c r="B97" t="s">
        <v>60</v>
      </c>
      <c r="C97">
        <v>6</v>
      </c>
      <c r="D97">
        <v>0</v>
      </c>
      <c r="E97">
        <v>0</v>
      </c>
      <c r="F97">
        <v>0</v>
      </c>
      <c r="G97">
        <v>0</v>
      </c>
      <c r="H97">
        <v>0</v>
      </c>
      <c r="I97">
        <v>0</v>
      </c>
      <c r="J97">
        <v>0</v>
      </c>
      <c r="K97">
        <v>0</v>
      </c>
      <c r="L97">
        <v>0</v>
      </c>
      <c r="M97">
        <v>748814</v>
      </c>
      <c r="N97" t="s">
        <v>61</v>
      </c>
      <c r="O97" t="s">
        <v>62</v>
      </c>
      <c r="P97">
        <v>0</v>
      </c>
      <c r="Q97">
        <v>0</v>
      </c>
      <c r="R97">
        <v>0</v>
      </c>
      <c r="S97">
        <v>0</v>
      </c>
      <c r="T97">
        <v>0</v>
      </c>
      <c r="U97">
        <v>0</v>
      </c>
      <c r="V97">
        <v>0</v>
      </c>
      <c r="W97">
        <v>0</v>
      </c>
      <c r="X97">
        <v>0</v>
      </c>
      <c r="Y97">
        <v>0</v>
      </c>
      <c r="Z97">
        <v>0</v>
      </c>
      <c r="AA97">
        <v>0</v>
      </c>
      <c r="AB97">
        <v>0</v>
      </c>
    </row>
    <row r="98" spans="1:28" x14ac:dyDescent="0.3">
      <c r="A98" s="1">
        <v>44076</v>
      </c>
      <c r="B98" t="s">
        <v>78</v>
      </c>
      <c r="C98">
        <v>6</v>
      </c>
      <c r="D98">
        <v>0</v>
      </c>
      <c r="E98">
        <v>0</v>
      </c>
      <c r="F98">
        <v>0</v>
      </c>
      <c r="G98">
        <v>0</v>
      </c>
      <c r="H98">
        <v>0</v>
      </c>
      <c r="I98">
        <v>0</v>
      </c>
      <c r="J98">
        <v>0</v>
      </c>
      <c r="K98">
        <v>0</v>
      </c>
      <c r="L98">
        <v>0</v>
      </c>
      <c r="M98">
        <v>1014069</v>
      </c>
      <c r="N98" t="s">
        <v>79</v>
      </c>
      <c r="O98" t="s">
        <v>80</v>
      </c>
      <c r="P98">
        <v>0</v>
      </c>
      <c r="Q98">
        <v>0</v>
      </c>
      <c r="R98">
        <v>0</v>
      </c>
      <c r="S98">
        <v>0</v>
      </c>
      <c r="T98">
        <v>0</v>
      </c>
      <c r="U98">
        <v>0</v>
      </c>
      <c r="V98">
        <v>0</v>
      </c>
      <c r="W98">
        <v>0</v>
      </c>
      <c r="X98">
        <v>0</v>
      </c>
      <c r="Y98">
        <v>0</v>
      </c>
      <c r="Z98">
        <v>0</v>
      </c>
      <c r="AA98">
        <v>0</v>
      </c>
      <c r="AB98">
        <v>0</v>
      </c>
    </row>
    <row r="99" spans="1:28" x14ac:dyDescent="0.3">
      <c r="A99" s="1">
        <v>44076</v>
      </c>
      <c r="B99" t="s">
        <v>66</v>
      </c>
      <c r="C99">
        <v>6</v>
      </c>
      <c r="D99">
        <v>0</v>
      </c>
      <c r="E99">
        <v>0</v>
      </c>
      <c r="F99">
        <v>0</v>
      </c>
      <c r="G99">
        <v>0</v>
      </c>
      <c r="H99">
        <v>0</v>
      </c>
      <c r="I99">
        <v>0</v>
      </c>
      <c r="J99">
        <v>0</v>
      </c>
      <c r="K99">
        <v>0</v>
      </c>
      <c r="L99">
        <v>0</v>
      </c>
      <c r="M99">
        <v>1413766</v>
      </c>
      <c r="N99" t="s">
        <v>67</v>
      </c>
      <c r="O99" t="s">
        <v>68</v>
      </c>
      <c r="P99">
        <v>0</v>
      </c>
      <c r="Q99">
        <v>0</v>
      </c>
      <c r="R99">
        <v>0</v>
      </c>
      <c r="S99">
        <v>0</v>
      </c>
      <c r="T99">
        <v>0</v>
      </c>
      <c r="U99">
        <v>0</v>
      </c>
      <c r="V99">
        <v>0</v>
      </c>
      <c r="W99">
        <v>0</v>
      </c>
      <c r="X99">
        <v>0</v>
      </c>
      <c r="Y99">
        <v>0</v>
      </c>
      <c r="Z99">
        <v>0</v>
      </c>
      <c r="AA99">
        <v>0</v>
      </c>
      <c r="AB99">
        <v>0</v>
      </c>
    </row>
    <row r="100" spans="1:28" x14ac:dyDescent="0.3">
      <c r="A100" s="1">
        <v>44076</v>
      </c>
      <c r="B100" t="s">
        <v>63</v>
      </c>
      <c r="C100">
        <v>5</v>
      </c>
      <c r="D100">
        <v>0</v>
      </c>
      <c r="E100">
        <v>0</v>
      </c>
      <c r="F100">
        <v>0</v>
      </c>
      <c r="G100">
        <v>0</v>
      </c>
      <c r="H100">
        <v>0</v>
      </c>
      <c r="I100">
        <v>0</v>
      </c>
      <c r="J100">
        <v>0</v>
      </c>
      <c r="K100">
        <v>0</v>
      </c>
      <c r="L100">
        <v>0</v>
      </c>
      <c r="M100">
        <v>140995</v>
      </c>
      <c r="N100" t="s">
        <v>64</v>
      </c>
      <c r="O100" t="s">
        <v>65</v>
      </c>
      <c r="P100">
        <v>0</v>
      </c>
      <c r="Q100">
        <v>0</v>
      </c>
      <c r="R100">
        <v>0</v>
      </c>
      <c r="S100">
        <v>0</v>
      </c>
      <c r="T100">
        <v>0</v>
      </c>
      <c r="U100">
        <v>0</v>
      </c>
      <c r="V100">
        <v>0</v>
      </c>
      <c r="W100">
        <v>0</v>
      </c>
      <c r="X100">
        <v>0</v>
      </c>
      <c r="Y100">
        <v>0</v>
      </c>
      <c r="Z100">
        <v>0</v>
      </c>
      <c r="AA100">
        <v>0</v>
      </c>
      <c r="AB100">
        <v>0</v>
      </c>
    </row>
    <row r="101" spans="1:28" x14ac:dyDescent="0.3">
      <c r="A101" s="1">
        <v>44076</v>
      </c>
      <c r="B101" t="s">
        <v>72</v>
      </c>
      <c r="C101">
        <v>4</v>
      </c>
      <c r="D101">
        <v>0</v>
      </c>
      <c r="E101">
        <v>0</v>
      </c>
      <c r="F101">
        <v>0</v>
      </c>
      <c r="G101">
        <v>0</v>
      </c>
      <c r="H101">
        <v>0</v>
      </c>
      <c r="I101">
        <v>0</v>
      </c>
      <c r="J101">
        <v>0</v>
      </c>
      <c r="K101">
        <v>0</v>
      </c>
      <c r="L101">
        <v>0</v>
      </c>
      <c r="M101">
        <v>514792</v>
      </c>
      <c r="N101" t="s">
        <v>73</v>
      </c>
      <c r="O101" t="s">
        <v>74</v>
      </c>
      <c r="P101">
        <v>0</v>
      </c>
      <c r="Q101">
        <v>0</v>
      </c>
      <c r="R101">
        <v>0</v>
      </c>
      <c r="S101">
        <v>0</v>
      </c>
      <c r="T101">
        <v>0</v>
      </c>
      <c r="U101">
        <v>0</v>
      </c>
      <c r="V101">
        <v>0</v>
      </c>
      <c r="W101">
        <v>0</v>
      </c>
      <c r="X101">
        <v>0</v>
      </c>
      <c r="Y101">
        <v>0</v>
      </c>
      <c r="Z101">
        <v>0</v>
      </c>
      <c r="AA101">
        <v>0</v>
      </c>
      <c r="AB101">
        <v>0</v>
      </c>
    </row>
    <row r="102" spans="1:28" x14ac:dyDescent="0.3">
      <c r="A102" s="1">
        <v>44076</v>
      </c>
      <c r="B102" t="s">
        <v>75</v>
      </c>
      <c r="C102">
        <v>4</v>
      </c>
      <c r="D102">
        <v>0</v>
      </c>
      <c r="E102">
        <v>0</v>
      </c>
      <c r="F102">
        <v>0</v>
      </c>
      <c r="G102">
        <v>0</v>
      </c>
      <c r="H102">
        <v>0</v>
      </c>
      <c r="I102">
        <v>0</v>
      </c>
      <c r="J102">
        <v>0</v>
      </c>
      <c r="K102">
        <v>0</v>
      </c>
      <c r="L102">
        <v>0</v>
      </c>
      <c r="M102">
        <v>745788</v>
      </c>
      <c r="N102" t="s">
        <v>76</v>
      </c>
      <c r="O102" t="s">
        <v>77</v>
      </c>
      <c r="P102">
        <v>0</v>
      </c>
      <c r="Q102">
        <v>0</v>
      </c>
      <c r="R102">
        <v>0</v>
      </c>
      <c r="S102">
        <v>0</v>
      </c>
      <c r="T102">
        <v>0</v>
      </c>
      <c r="U102">
        <v>0</v>
      </c>
      <c r="V102">
        <v>0</v>
      </c>
      <c r="W102">
        <v>0</v>
      </c>
      <c r="X102">
        <v>0</v>
      </c>
      <c r="Y102">
        <v>0</v>
      </c>
      <c r="Z102">
        <v>0</v>
      </c>
      <c r="AA102">
        <v>0</v>
      </c>
      <c r="AB102">
        <v>0</v>
      </c>
    </row>
    <row r="103" spans="1:28" x14ac:dyDescent="0.3">
      <c r="A103" s="1">
        <v>44076</v>
      </c>
      <c r="B103" t="s">
        <v>93</v>
      </c>
      <c r="C103">
        <v>4</v>
      </c>
      <c r="D103">
        <v>0</v>
      </c>
      <c r="E103">
        <v>0</v>
      </c>
      <c r="F103">
        <v>0</v>
      </c>
      <c r="G103">
        <v>0</v>
      </c>
      <c r="H103">
        <v>0</v>
      </c>
      <c r="I103">
        <v>0</v>
      </c>
      <c r="J103">
        <v>0</v>
      </c>
      <c r="K103">
        <v>0</v>
      </c>
      <c r="L103">
        <v>0</v>
      </c>
      <c r="M103">
        <v>1238556</v>
      </c>
      <c r="N103" t="s">
        <v>94</v>
      </c>
      <c r="O103" t="s">
        <v>95</v>
      </c>
      <c r="P103">
        <v>0</v>
      </c>
      <c r="Q103">
        <v>0</v>
      </c>
      <c r="R103">
        <v>0</v>
      </c>
      <c r="S103">
        <v>0</v>
      </c>
      <c r="T103">
        <v>0</v>
      </c>
      <c r="U103">
        <v>0</v>
      </c>
      <c r="V103">
        <v>0</v>
      </c>
      <c r="W103">
        <v>0</v>
      </c>
      <c r="X103">
        <v>0</v>
      </c>
      <c r="Y103">
        <v>0</v>
      </c>
      <c r="Z103">
        <v>0</v>
      </c>
      <c r="AA103">
        <v>0</v>
      </c>
      <c r="AB103">
        <v>0</v>
      </c>
    </row>
    <row r="104" spans="1:28" x14ac:dyDescent="0.3">
      <c r="A104" s="1">
        <v>44076</v>
      </c>
      <c r="B104" t="s">
        <v>120</v>
      </c>
      <c r="C104">
        <v>2</v>
      </c>
      <c r="D104">
        <v>0</v>
      </c>
      <c r="E104">
        <v>0</v>
      </c>
      <c r="F104">
        <v>0</v>
      </c>
      <c r="G104">
        <v>0</v>
      </c>
      <c r="H104">
        <v>0</v>
      </c>
      <c r="I104">
        <v>0</v>
      </c>
      <c r="J104">
        <v>0</v>
      </c>
      <c r="K104">
        <v>0</v>
      </c>
      <c r="L104">
        <v>0</v>
      </c>
      <c r="M104">
        <v>154911</v>
      </c>
      <c r="N104" t="s">
        <v>121</v>
      </c>
      <c r="O104" t="s">
        <v>122</v>
      </c>
      <c r="P104">
        <v>0</v>
      </c>
      <c r="Q104">
        <v>0</v>
      </c>
      <c r="R104">
        <v>0</v>
      </c>
      <c r="S104">
        <v>0</v>
      </c>
      <c r="T104">
        <v>0</v>
      </c>
      <c r="U104">
        <v>0</v>
      </c>
      <c r="V104">
        <v>0</v>
      </c>
      <c r="W104">
        <v>0</v>
      </c>
      <c r="X104">
        <v>0</v>
      </c>
      <c r="Y104">
        <v>0</v>
      </c>
      <c r="Z104">
        <v>0</v>
      </c>
      <c r="AA104">
        <v>0</v>
      </c>
      <c r="AB104">
        <v>0</v>
      </c>
    </row>
    <row r="105" spans="1:28" x14ac:dyDescent="0.3">
      <c r="A105" s="1">
        <v>44076</v>
      </c>
      <c r="B105" t="s">
        <v>99</v>
      </c>
      <c r="C105">
        <v>2</v>
      </c>
      <c r="D105">
        <v>0</v>
      </c>
      <c r="E105">
        <v>0</v>
      </c>
      <c r="F105">
        <v>0</v>
      </c>
      <c r="G105">
        <v>0</v>
      </c>
      <c r="H105">
        <v>0</v>
      </c>
      <c r="I105">
        <v>0</v>
      </c>
      <c r="J105">
        <v>0</v>
      </c>
      <c r="K105">
        <v>0</v>
      </c>
      <c r="L105">
        <v>0</v>
      </c>
      <c r="M105">
        <v>193744</v>
      </c>
      <c r="N105" t="s">
        <v>100</v>
      </c>
      <c r="O105" t="s">
        <v>101</v>
      </c>
      <c r="P105">
        <v>0</v>
      </c>
      <c r="Q105">
        <v>0</v>
      </c>
      <c r="R105">
        <v>0</v>
      </c>
      <c r="S105">
        <v>0</v>
      </c>
      <c r="T105">
        <v>0</v>
      </c>
      <c r="U105">
        <v>0</v>
      </c>
      <c r="V105">
        <v>0</v>
      </c>
      <c r="W105">
        <v>0</v>
      </c>
      <c r="X105">
        <v>0</v>
      </c>
      <c r="Y105">
        <v>0</v>
      </c>
      <c r="Z105">
        <v>0</v>
      </c>
      <c r="AA105">
        <v>0</v>
      </c>
      <c r="AB105">
        <v>0</v>
      </c>
    </row>
    <row r="106" spans="1:28" x14ac:dyDescent="0.3">
      <c r="A106" s="1">
        <v>44076</v>
      </c>
      <c r="B106" t="s">
        <v>123</v>
      </c>
      <c r="C106">
        <v>2</v>
      </c>
      <c r="D106">
        <v>0</v>
      </c>
      <c r="E106">
        <v>0</v>
      </c>
      <c r="F106">
        <v>0</v>
      </c>
      <c r="G106">
        <v>0</v>
      </c>
      <c r="H106">
        <v>0</v>
      </c>
      <c r="I106">
        <v>0</v>
      </c>
      <c r="J106">
        <v>0</v>
      </c>
      <c r="K106">
        <v>0</v>
      </c>
      <c r="L106">
        <v>0</v>
      </c>
      <c r="M106">
        <v>213636</v>
      </c>
      <c r="N106" t="s">
        <v>124</v>
      </c>
      <c r="O106" t="s">
        <v>125</v>
      </c>
      <c r="P106">
        <v>0</v>
      </c>
      <c r="Q106">
        <v>0</v>
      </c>
      <c r="R106">
        <v>0</v>
      </c>
      <c r="S106">
        <v>0</v>
      </c>
      <c r="T106">
        <v>0</v>
      </c>
      <c r="U106">
        <v>0</v>
      </c>
      <c r="V106">
        <v>0</v>
      </c>
      <c r="W106">
        <v>0</v>
      </c>
      <c r="X106">
        <v>0</v>
      </c>
      <c r="Y106">
        <v>0</v>
      </c>
      <c r="Z106">
        <v>0</v>
      </c>
      <c r="AA106">
        <v>0</v>
      </c>
      <c r="AB106">
        <v>0</v>
      </c>
    </row>
    <row r="107" spans="1:28" x14ac:dyDescent="0.3">
      <c r="A107" s="1">
        <v>44076</v>
      </c>
      <c r="B107" t="s">
        <v>102</v>
      </c>
      <c r="C107">
        <v>2</v>
      </c>
      <c r="D107">
        <v>0</v>
      </c>
      <c r="E107">
        <v>0</v>
      </c>
      <c r="F107">
        <v>0</v>
      </c>
      <c r="G107">
        <v>0</v>
      </c>
      <c r="H107">
        <v>0</v>
      </c>
      <c r="I107">
        <v>0</v>
      </c>
      <c r="J107">
        <v>0</v>
      </c>
      <c r="K107">
        <v>0</v>
      </c>
      <c r="L107">
        <v>0</v>
      </c>
      <c r="M107">
        <v>742098</v>
      </c>
      <c r="N107" t="s">
        <v>103</v>
      </c>
      <c r="O107" t="s">
        <v>104</v>
      </c>
      <c r="P107">
        <v>0</v>
      </c>
      <c r="Q107">
        <v>0</v>
      </c>
      <c r="R107">
        <v>0</v>
      </c>
      <c r="S107">
        <v>0</v>
      </c>
      <c r="T107">
        <v>0</v>
      </c>
      <c r="U107">
        <v>0</v>
      </c>
      <c r="V107">
        <v>0</v>
      </c>
      <c r="W107">
        <v>0</v>
      </c>
      <c r="X107">
        <v>0</v>
      </c>
      <c r="Y107">
        <v>0</v>
      </c>
      <c r="Z107">
        <v>0</v>
      </c>
      <c r="AA107">
        <v>0</v>
      </c>
      <c r="AB107">
        <v>0</v>
      </c>
    </row>
    <row r="108" spans="1:28" x14ac:dyDescent="0.3">
      <c r="A108" s="1">
        <v>44076</v>
      </c>
      <c r="B108" t="s">
        <v>129</v>
      </c>
      <c r="C108">
        <v>2</v>
      </c>
      <c r="D108">
        <v>0</v>
      </c>
      <c r="E108">
        <v>0</v>
      </c>
      <c r="F108">
        <v>0</v>
      </c>
      <c r="G108">
        <v>0</v>
      </c>
      <c r="H108">
        <v>0</v>
      </c>
      <c r="I108">
        <v>0</v>
      </c>
      <c r="J108">
        <v>0</v>
      </c>
      <c r="K108">
        <v>0</v>
      </c>
      <c r="L108">
        <v>0</v>
      </c>
      <c r="M108">
        <v>1140999</v>
      </c>
      <c r="N108" t="s">
        <v>130</v>
      </c>
      <c r="O108" t="s">
        <v>131</v>
      </c>
      <c r="P108">
        <v>0</v>
      </c>
      <c r="Q108">
        <v>0</v>
      </c>
      <c r="R108">
        <v>0</v>
      </c>
      <c r="S108">
        <v>0</v>
      </c>
      <c r="T108">
        <v>0</v>
      </c>
      <c r="U108">
        <v>0</v>
      </c>
      <c r="V108">
        <v>0</v>
      </c>
      <c r="W108">
        <v>0</v>
      </c>
      <c r="X108">
        <v>0</v>
      </c>
      <c r="Y108">
        <v>0</v>
      </c>
      <c r="Z108">
        <v>0</v>
      </c>
      <c r="AA108">
        <v>0</v>
      </c>
      <c r="AB108">
        <v>0</v>
      </c>
    </row>
    <row r="109" spans="1:28" x14ac:dyDescent="0.3">
      <c r="A109" s="1">
        <v>44076</v>
      </c>
      <c r="B109" t="s">
        <v>81</v>
      </c>
      <c r="C109">
        <v>2</v>
      </c>
      <c r="D109">
        <v>0</v>
      </c>
      <c r="E109">
        <v>0</v>
      </c>
      <c r="F109">
        <v>0</v>
      </c>
      <c r="G109">
        <v>0</v>
      </c>
      <c r="H109">
        <v>0</v>
      </c>
      <c r="I109">
        <v>0</v>
      </c>
      <c r="J109">
        <v>0</v>
      </c>
      <c r="K109">
        <v>0</v>
      </c>
      <c r="L109">
        <v>0</v>
      </c>
      <c r="M109">
        <v>1225169</v>
      </c>
      <c r="N109" t="s">
        <v>82</v>
      </c>
      <c r="O109" t="s">
        <v>83</v>
      </c>
      <c r="P109">
        <v>0</v>
      </c>
      <c r="Q109">
        <v>0</v>
      </c>
      <c r="R109">
        <v>0</v>
      </c>
      <c r="S109">
        <v>0</v>
      </c>
      <c r="T109">
        <v>0</v>
      </c>
      <c r="U109">
        <v>0</v>
      </c>
      <c r="V109">
        <v>0</v>
      </c>
      <c r="W109">
        <v>0</v>
      </c>
      <c r="X109">
        <v>0</v>
      </c>
      <c r="Y109">
        <v>0</v>
      </c>
      <c r="Z109">
        <v>0</v>
      </c>
      <c r="AA109">
        <v>0</v>
      </c>
      <c r="AB109">
        <v>0</v>
      </c>
    </row>
    <row r="110" spans="1:28" x14ac:dyDescent="0.3">
      <c r="A110" s="1">
        <v>44076</v>
      </c>
      <c r="B110" t="s">
        <v>84</v>
      </c>
      <c r="C110">
        <v>2</v>
      </c>
      <c r="D110">
        <v>0</v>
      </c>
      <c r="E110">
        <v>0</v>
      </c>
      <c r="F110">
        <v>0</v>
      </c>
      <c r="G110">
        <v>0</v>
      </c>
      <c r="H110">
        <v>0</v>
      </c>
      <c r="I110">
        <v>0</v>
      </c>
      <c r="J110">
        <v>0</v>
      </c>
      <c r="K110">
        <v>0</v>
      </c>
      <c r="L110">
        <v>0</v>
      </c>
      <c r="M110">
        <v>1242889</v>
      </c>
      <c r="N110" t="s">
        <v>85</v>
      </c>
      <c r="O110" t="s">
        <v>86</v>
      </c>
      <c r="P110">
        <v>0</v>
      </c>
      <c r="Q110">
        <v>0</v>
      </c>
      <c r="R110">
        <v>0</v>
      </c>
      <c r="S110">
        <v>0</v>
      </c>
      <c r="T110">
        <v>0</v>
      </c>
      <c r="U110">
        <v>0</v>
      </c>
      <c r="V110">
        <v>0</v>
      </c>
      <c r="W110">
        <v>0</v>
      </c>
      <c r="X110">
        <v>0</v>
      </c>
      <c r="Y110">
        <v>0</v>
      </c>
      <c r="Z110">
        <v>0</v>
      </c>
      <c r="AA110">
        <v>0</v>
      </c>
      <c r="AB110">
        <v>0</v>
      </c>
    </row>
    <row r="111" spans="1:28" x14ac:dyDescent="0.3">
      <c r="A111" s="1">
        <v>44076</v>
      </c>
      <c r="B111" t="s">
        <v>159</v>
      </c>
      <c r="C111">
        <v>2</v>
      </c>
      <c r="D111">
        <v>0</v>
      </c>
      <c r="E111">
        <v>0</v>
      </c>
      <c r="F111">
        <v>0</v>
      </c>
      <c r="G111">
        <v>0</v>
      </c>
      <c r="H111">
        <v>0</v>
      </c>
      <c r="I111">
        <v>0</v>
      </c>
      <c r="J111">
        <v>0</v>
      </c>
      <c r="K111">
        <v>0</v>
      </c>
      <c r="L111">
        <v>0</v>
      </c>
      <c r="M111">
        <v>2029250</v>
      </c>
      <c r="N111" t="s">
        <v>160</v>
      </c>
      <c r="O111" t="s">
        <v>161</v>
      </c>
      <c r="P111">
        <v>0</v>
      </c>
      <c r="Q111">
        <v>0</v>
      </c>
      <c r="R111">
        <v>0</v>
      </c>
      <c r="S111">
        <v>0</v>
      </c>
      <c r="T111">
        <v>0</v>
      </c>
      <c r="U111">
        <v>0</v>
      </c>
      <c r="V111">
        <v>0</v>
      </c>
      <c r="W111">
        <v>0</v>
      </c>
      <c r="X111">
        <v>0</v>
      </c>
      <c r="Y111">
        <v>0</v>
      </c>
      <c r="Z111">
        <v>0</v>
      </c>
      <c r="AA111">
        <v>0</v>
      </c>
      <c r="AB111">
        <v>0</v>
      </c>
    </row>
    <row r="112" spans="1:28" x14ac:dyDescent="0.3">
      <c r="A112" s="1">
        <v>44076</v>
      </c>
      <c r="B112" t="s">
        <v>126</v>
      </c>
      <c r="C112">
        <v>1</v>
      </c>
      <c r="D112">
        <v>0</v>
      </c>
      <c r="E112">
        <v>0</v>
      </c>
      <c r="F112">
        <v>0</v>
      </c>
      <c r="G112">
        <v>0</v>
      </c>
      <c r="H112">
        <v>0</v>
      </c>
      <c r="I112">
        <v>0</v>
      </c>
      <c r="J112">
        <v>0</v>
      </c>
      <c r="K112">
        <v>0</v>
      </c>
      <c r="L112">
        <v>0</v>
      </c>
      <c r="M112">
        <v>318676</v>
      </c>
      <c r="N112" t="s">
        <v>127</v>
      </c>
      <c r="O112" t="s">
        <v>128</v>
      </c>
      <c r="P112">
        <v>0</v>
      </c>
      <c r="Q112">
        <v>0</v>
      </c>
      <c r="R112">
        <v>0</v>
      </c>
      <c r="S112">
        <v>0</v>
      </c>
      <c r="T112">
        <v>0</v>
      </c>
      <c r="U112">
        <v>0</v>
      </c>
      <c r="V112">
        <v>0</v>
      </c>
      <c r="W112">
        <v>0</v>
      </c>
      <c r="X112">
        <v>0</v>
      </c>
      <c r="Y112">
        <v>0</v>
      </c>
      <c r="Z112">
        <v>0</v>
      </c>
      <c r="AA112">
        <v>0</v>
      </c>
      <c r="AB112">
        <v>0</v>
      </c>
    </row>
    <row r="113" spans="1:28" x14ac:dyDescent="0.3">
      <c r="A113" s="1">
        <v>44076</v>
      </c>
      <c r="B113" t="s">
        <v>162</v>
      </c>
      <c r="C113">
        <v>1</v>
      </c>
      <c r="D113">
        <v>0</v>
      </c>
      <c r="E113">
        <v>0</v>
      </c>
      <c r="F113">
        <v>0</v>
      </c>
      <c r="G113">
        <v>0</v>
      </c>
      <c r="H113">
        <v>0</v>
      </c>
      <c r="I113">
        <v>0</v>
      </c>
      <c r="J113">
        <v>0</v>
      </c>
      <c r="K113">
        <v>0</v>
      </c>
      <c r="L113">
        <v>0</v>
      </c>
      <c r="M113">
        <v>708786</v>
      </c>
      <c r="N113" t="s">
        <v>163</v>
      </c>
      <c r="O113" t="s">
        <v>164</v>
      </c>
      <c r="P113">
        <v>0</v>
      </c>
      <c r="Q113">
        <v>0</v>
      </c>
      <c r="R113">
        <v>0</v>
      </c>
      <c r="S113">
        <v>0</v>
      </c>
      <c r="T113">
        <v>0</v>
      </c>
      <c r="U113">
        <v>0</v>
      </c>
      <c r="V113">
        <v>0</v>
      </c>
      <c r="W113">
        <v>0</v>
      </c>
      <c r="X113">
        <v>0</v>
      </c>
      <c r="Y113">
        <v>0</v>
      </c>
      <c r="Z113">
        <v>0</v>
      </c>
      <c r="AA113">
        <v>0</v>
      </c>
      <c r="AB113">
        <v>0</v>
      </c>
    </row>
    <row r="114" spans="1:28" x14ac:dyDescent="0.3">
      <c r="A114" s="1">
        <v>44076</v>
      </c>
      <c r="B114" t="s">
        <v>96</v>
      </c>
      <c r="C114">
        <v>1</v>
      </c>
      <c r="D114">
        <v>0</v>
      </c>
      <c r="E114">
        <v>0</v>
      </c>
      <c r="F114">
        <v>0</v>
      </c>
      <c r="G114">
        <v>0</v>
      </c>
      <c r="H114">
        <v>0</v>
      </c>
      <c r="I114">
        <v>0</v>
      </c>
      <c r="J114">
        <v>0</v>
      </c>
      <c r="K114">
        <v>0</v>
      </c>
      <c r="L114">
        <v>0</v>
      </c>
      <c r="M114">
        <v>1372745</v>
      </c>
      <c r="N114" t="s">
        <v>97</v>
      </c>
      <c r="O114" t="s">
        <v>98</v>
      </c>
      <c r="P114">
        <v>0</v>
      </c>
      <c r="Q114">
        <v>0</v>
      </c>
      <c r="R114">
        <v>0</v>
      </c>
      <c r="S114">
        <v>0</v>
      </c>
      <c r="T114">
        <v>0</v>
      </c>
      <c r="U114">
        <v>0</v>
      </c>
      <c r="V114">
        <v>0</v>
      </c>
      <c r="W114">
        <v>0</v>
      </c>
      <c r="X114">
        <v>0</v>
      </c>
      <c r="Y114">
        <v>0</v>
      </c>
      <c r="Z114">
        <v>0</v>
      </c>
      <c r="AA114">
        <v>0</v>
      </c>
      <c r="AB114">
        <v>0</v>
      </c>
    </row>
    <row r="115" spans="1:28" x14ac:dyDescent="0.3">
      <c r="A115" s="1">
        <v>44076</v>
      </c>
      <c r="B115" t="s">
        <v>225</v>
      </c>
      <c r="C115">
        <v>1</v>
      </c>
      <c r="D115">
        <v>0</v>
      </c>
      <c r="E115">
        <v>0</v>
      </c>
      <c r="F115">
        <v>0</v>
      </c>
      <c r="G115">
        <v>0</v>
      </c>
      <c r="H115">
        <v>0</v>
      </c>
      <c r="I115">
        <v>0</v>
      </c>
      <c r="J115">
        <v>0</v>
      </c>
      <c r="K115">
        <v>0</v>
      </c>
      <c r="L115">
        <v>0</v>
      </c>
      <c r="M115">
        <v>1393373</v>
      </c>
      <c r="N115" t="s">
        <v>226</v>
      </c>
      <c r="O115" t="s">
        <v>227</v>
      </c>
      <c r="P115">
        <v>0</v>
      </c>
      <c r="Q115">
        <v>0</v>
      </c>
      <c r="R115">
        <v>0</v>
      </c>
      <c r="S115">
        <v>0</v>
      </c>
      <c r="T115">
        <v>0</v>
      </c>
      <c r="U115">
        <v>0</v>
      </c>
      <c r="V115">
        <v>0</v>
      </c>
      <c r="W115">
        <v>0</v>
      </c>
      <c r="X115">
        <v>0</v>
      </c>
      <c r="Y115">
        <v>0</v>
      </c>
      <c r="Z115">
        <v>0</v>
      </c>
      <c r="AA115">
        <v>0</v>
      </c>
      <c r="AB115">
        <v>0</v>
      </c>
    </row>
    <row r="116" spans="1:28" x14ac:dyDescent="0.3">
      <c r="A116" s="1">
        <v>44076</v>
      </c>
      <c r="B116" t="s">
        <v>213</v>
      </c>
      <c r="C116">
        <v>1</v>
      </c>
      <c r="D116">
        <v>0</v>
      </c>
      <c r="E116">
        <v>0</v>
      </c>
      <c r="F116">
        <v>0</v>
      </c>
      <c r="G116">
        <v>0</v>
      </c>
      <c r="H116">
        <v>0</v>
      </c>
      <c r="I116">
        <v>0</v>
      </c>
      <c r="J116">
        <v>0</v>
      </c>
      <c r="K116">
        <v>0</v>
      </c>
      <c r="L116">
        <v>0</v>
      </c>
      <c r="M116">
        <v>1418817</v>
      </c>
      <c r="N116" t="s">
        <v>214</v>
      </c>
      <c r="O116" t="s">
        <v>215</v>
      </c>
      <c r="P116">
        <v>0</v>
      </c>
      <c r="Q116">
        <v>0</v>
      </c>
      <c r="R116">
        <v>0</v>
      </c>
      <c r="S116">
        <v>0</v>
      </c>
      <c r="T116">
        <v>0</v>
      </c>
      <c r="U116">
        <v>0</v>
      </c>
      <c r="V116">
        <v>0</v>
      </c>
      <c r="W116">
        <v>0</v>
      </c>
      <c r="X116">
        <v>0</v>
      </c>
      <c r="Y116">
        <v>0</v>
      </c>
      <c r="Z116">
        <v>0</v>
      </c>
      <c r="AA116">
        <v>0</v>
      </c>
      <c r="AB116">
        <v>0</v>
      </c>
    </row>
    <row r="117" spans="1:28" x14ac:dyDescent="0.3">
      <c r="A117" s="1">
        <v>44076</v>
      </c>
      <c r="B117" t="s">
        <v>135</v>
      </c>
      <c r="C117">
        <v>1</v>
      </c>
      <c r="D117">
        <v>0</v>
      </c>
      <c r="E117">
        <v>0</v>
      </c>
      <c r="F117">
        <v>0</v>
      </c>
      <c r="G117">
        <v>0</v>
      </c>
      <c r="H117">
        <v>0</v>
      </c>
      <c r="I117">
        <v>0</v>
      </c>
      <c r="J117">
        <v>0</v>
      </c>
      <c r="K117">
        <v>0</v>
      </c>
      <c r="L117">
        <v>0</v>
      </c>
      <c r="M117">
        <v>1538097</v>
      </c>
      <c r="N117" t="s">
        <v>136</v>
      </c>
      <c r="O117" t="s">
        <v>137</v>
      </c>
      <c r="P117">
        <v>0</v>
      </c>
      <c r="Q117">
        <v>0</v>
      </c>
      <c r="R117">
        <v>0</v>
      </c>
      <c r="S117">
        <v>0</v>
      </c>
      <c r="T117">
        <v>0</v>
      </c>
      <c r="U117">
        <v>0</v>
      </c>
      <c r="V117">
        <v>0</v>
      </c>
      <c r="W117">
        <v>0</v>
      </c>
      <c r="X117">
        <v>0</v>
      </c>
      <c r="Y117">
        <v>0</v>
      </c>
      <c r="Z117">
        <v>0</v>
      </c>
      <c r="AA117">
        <v>0</v>
      </c>
      <c r="AB117">
        <v>0</v>
      </c>
    </row>
    <row r="118" spans="1:28" x14ac:dyDescent="0.3">
      <c r="A118" s="1">
        <v>44076</v>
      </c>
      <c r="B118" t="s">
        <v>138</v>
      </c>
      <c r="C118">
        <v>1</v>
      </c>
      <c r="D118">
        <v>0</v>
      </c>
      <c r="E118">
        <v>0</v>
      </c>
      <c r="F118">
        <v>0</v>
      </c>
      <c r="G118">
        <v>0</v>
      </c>
      <c r="H118">
        <v>0</v>
      </c>
      <c r="I118">
        <v>0</v>
      </c>
      <c r="J118">
        <v>0</v>
      </c>
      <c r="K118">
        <v>0</v>
      </c>
      <c r="L118">
        <v>0</v>
      </c>
      <c r="M118">
        <v>1578665</v>
      </c>
      <c r="N118" t="s">
        <v>139</v>
      </c>
      <c r="O118" t="s">
        <v>140</v>
      </c>
      <c r="P118">
        <v>0</v>
      </c>
      <c r="Q118">
        <v>0</v>
      </c>
      <c r="R118">
        <v>0</v>
      </c>
      <c r="S118">
        <v>0</v>
      </c>
      <c r="T118">
        <v>0</v>
      </c>
      <c r="U118">
        <v>0</v>
      </c>
      <c r="V118">
        <v>0</v>
      </c>
      <c r="W118">
        <v>0</v>
      </c>
      <c r="X118">
        <v>0</v>
      </c>
      <c r="Y118">
        <v>0</v>
      </c>
      <c r="Z118">
        <v>0</v>
      </c>
      <c r="AA118">
        <v>0</v>
      </c>
      <c r="AB118">
        <v>0</v>
      </c>
    </row>
    <row r="119" spans="1:28" x14ac:dyDescent="0.3">
      <c r="A119" s="1">
        <v>44076</v>
      </c>
      <c r="B119" t="s">
        <v>31</v>
      </c>
      <c r="C119">
        <v>1</v>
      </c>
      <c r="D119">
        <v>0</v>
      </c>
      <c r="E119">
        <v>0</v>
      </c>
      <c r="F119">
        <v>0</v>
      </c>
      <c r="G119">
        <v>0</v>
      </c>
      <c r="H119">
        <v>0</v>
      </c>
      <c r="I119">
        <v>0</v>
      </c>
      <c r="J119">
        <v>0</v>
      </c>
      <c r="K119">
        <v>0</v>
      </c>
      <c r="L119">
        <v>0</v>
      </c>
      <c r="M119">
        <v>1663605</v>
      </c>
      <c r="N119" t="s">
        <v>32</v>
      </c>
      <c r="O119" t="s">
        <v>33</v>
      </c>
      <c r="P119">
        <v>0</v>
      </c>
      <c r="Q119">
        <v>0</v>
      </c>
      <c r="R119">
        <v>0</v>
      </c>
      <c r="S119">
        <v>0</v>
      </c>
      <c r="T119">
        <v>0</v>
      </c>
      <c r="U119">
        <v>0</v>
      </c>
      <c r="V119">
        <v>0</v>
      </c>
      <c r="W119">
        <v>0</v>
      </c>
      <c r="X119">
        <v>0</v>
      </c>
      <c r="Y119">
        <v>0</v>
      </c>
      <c r="Z119">
        <v>0</v>
      </c>
      <c r="AA119">
        <v>0</v>
      </c>
      <c r="AB119">
        <v>0</v>
      </c>
    </row>
    <row r="120" spans="1:28" x14ac:dyDescent="0.3">
      <c r="A120" s="1">
        <v>44076</v>
      </c>
      <c r="B120" t="s">
        <v>261</v>
      </c>
      <c r="C120">
        <v>1</v>
      </c>
      <c r="D120">
        <v>0</v>
      </c>
      <c r="E120">
        <v>0</v>
      </c>
      <c r="F120">
        <v>0</v>
      </c>
      <c r="G120">
        <v>0</v>
      </c>
      <c r="H120">
        <v>0</v>
      </c>
      <c r="I120">
        <v>0</v>
      </c>
      <c r="J120">
        <v>0</v>
      </c>
      <c r="K120">
        <v>0</v>
      </c>
      <c r="L120">
        <v>0</v>
      </c>
      <c r="M120">
        <v>1752450</v>
      </c>
      <c r="N120" t="s">
        <v>262</v>
      </c>
      <c r="O120" t="s">
        <v>263</v>
      </c>
      <c r="P120">
        <v>0</v>
      </c>
      <c r="Q120">
        <v>0</v>
      </c>
      <c r="R120">
        <v>0</v>
      </c>
      <c r="S120">
        <v>0</v>
      </c>
      <c r="T120">
        <v>0</v>
      </c>
      <c r="U120">
        <v>0</v>
      </c>
      <c r="V120">
        <v>0</v>
      </c>
      <c r="W120">
        <v>0</v>
      </c>
      <c r="X120">
        <v>0</v>
      </c>
      <c r="Y120">
        <v>0</v>
      </c>
      <c r="Z120">
        <v>0</v>
      </c>
      <c r="AA120">
        <v>0</v>
      </c>
      <c r="AB120">
        <v>0</v>
      </c>
    </row>
    <row r="121" spans="1:28" x14ac:dyDescent="0.3">
      <c r="A121" s="1">
        <v>44076</v>
      </c>
      <c r="B121" t="s">
        <v>69</v>
      </c>
      <c r="C121">
        <v>1</v>
      </c>
      <c r="D121">
        <v>0</v>
      </c>
      <c r="E121">
        <v>0</v>
      </c>
      <c r="F121">
        <v>0</v>
      </c>
      <c r="G121">
        <v>0</v>
      </c>
      <c r="H121">
        <v>0</v>
      </c>
      <c r="I121">
        <v>0</v>
      </c>
      <c r="J121">
        <v>0</v>
      </c>
      <c r="K121">
        <v>0</v>
      </c>
      <c r="L121">
        <v>0</v>
      </c>
      <c r="M121">
        <v>1772040</v>
      </c>
      <c r="N121" t="s">
        <v>70</v>
      </c>
      <c r="O121" t="s">
        <v>71</v>
      </c>
      <c r="P121">
        <v>0</v>
      </c>
      <c r="Q121">
        <v>0</v>
      </c>
      <c r="R121">
        <v>0</v>
      </c>
      <c r="S121">
        <v>0</v>
      </c>
      <c r="T121">
        <v>0</v>
      </c>
      <c r="U121">
        <v>0</v>
      </c>
      <c r="V121">
        <v>0</v>
      </c>
      <c r="W121">
        <v>0</v>
      </c>
      <c r="X121">
        <v>0</v>
      </c>
      <c r="Y121">
        <v>0</v>
      </c>
      <c r="Z121">
        <v>0</v>
      </c>
      <c r="AA121">
        <v>0</v>
      </c>
      <c r="AB121">
        <v>0</v>
      </c>
    </row>
    <row r="122" spans="1:28" x14ac:dyDescent="0.3">
      <c r="A122" s="1">
        <v>44076</v>
      </c>
      <c r="B122" t="s">
        <v>174</v>
      </c>
      <c r="C122">
        <v>1</v>
      </c>
      <c r="D122">
        <v>0</v>
      </c>
      <c r="E122">
        <v>0</v>
      </c>
      <c r="F122">
        <v>0</v>
      </c>
      <c r="G122">
        <v>0</v>
      </c>
      <c r="H122">
        <v>0</v>
      </c>
      <c r="I122">
        <v>0</v>
      </c>
      <c r="J122">
        <v>0</v>
      </c>
      <c r="K122">
        <v>0</v>
      </c>
      <c r="L122">
        <v>0</v>
      </c>
      <c r="M122">
        <v>1778626</v>
      </c>
      <c r="N122" t="s">
        <v>175</v>
      </c>
      <c r="O122" t="s">
        <v>176</v>
      </c>
      <c r="P122">
        <v>0</v>
      </c>
      <c r="Q122">
        <v>0</v>
      </c>
      <c r="R122">
        <v>0</v>
      </c>
      <c r="S122">
        <v>0</v>
      </c>
      <c r="T122">
        <v>0</v>
      </c>
      <c r="U122">
        <v>0</v>
      </c>
      <c r="V122">
        <v>0</v>
      </c>
      <c r="W122">
        <v>0</v>
      </c>
      <c r="X122">
        <v>0</v>
      </c>
      <c r="Y122">
        <v>0</v>
      </c>
      <c r="Z122">
        <v>0</v>
      </c>
      <c r="AA122">
        <v>0</v>
      </c>
      <c r="AB122">
        <v>0</v>
      </c>
    </row>
    <row r="123" spans="1:28" x14ac:dyDescent="0.3">
      <c r="A123" s="1">
        <v>44076</v>
      </c>
      <c r="B123" t="s">
        <v>204</v>
      </c>
      <c r="C123">
        <v>1</v>
      </c>
      <c r="D123">
        <v>0</v>
      </c>
      <c r="E123">
        <v>0</v>
      </c>
      <c r="F123">
        <v>0</v>
      </c>
      <c r="G123">
        <v>0</v>
      </c>
      <c r="H123">
        <v>0</v>
      </c>
      <c r="I123">
        <v>0</v>
      </c>
      <c r="J123">
        <v>0</v>
      </c>
      <c r="K123">
        <v>0</v>
      </c>
      <c r="L123">
        <v>0</v>
      </c>
      <c r="M123">
        <v>1868351</v>
      </c>
      <c r="N123" t="s">
        <v>205</v>
      </c>
      <c r="O123" t="s">
        <v>206</v>
      </c>
      <c r="P123">
        <v>0</v>
      </c>
      <c r="Q123">
        <v>0</v>
      </c>
      <c r="R123">
        <v>0</v>
      </c>
      <c r="S123">
        <v>0</v>
      </c>
      <c r="T123">
        <v>0</v>
      </c>
      <c r="U123">
        <v>0</v>
      </c>
      <c r="V123">
        <v>0</v>
      </c>
      <c r="W123">
        <v>0</v>
      </c>
      <c r="X123">
        <v>0</v>
      </c>
      <c r="Y123">
        <v>0</v>
      </c>
      <c r="Z123">
        <v>0</v>
      </c>
      <c r="AA123">
        <v>0</v>
      </c>
      <c r="AB123">
        <v>0</v>
      </c>
    </row>
    <row r="124" spans="1:28" x14ac:dyDescent="0.3">
      <c r="A124" s="1">
        <v>44076</v>
      </c>
      <c r="B124" t="s">
        <v>147</v>
      </c>
      <c r="C124">
        <v>1</v>
      </c>
      <c r="D124">
        <v>0</v>
      </c>
      <c r="E124">
        <v>0</v>
      </c>
      <c r="F124">
        <v>0</v>
      </c>
      <c r="G124">
        <v>0</v>
      </c>
      <c r="H124">
        <v>0</v>
      </c>
      <c r="I124">
        <v>0</v>
      </c>
      <c r="J124">
        <v>0</v>
      </c>
      <c r="K124">
        <v>0</v>
      </c>
      <c r="L124">
        <v>0</v>
      </c>
      <c r="M124">
        <v>2075116</v>
      </c>
      <c r="N124" t="s">
        <v>148</v>
      </c>
      <c r="O124" t="s">
        <v>149</v>
      </c>
      <c r="P124">
        <v>0</v>
      </c>
      <c r="Q124">
        <v>0</v>
      </c>
      <c r="R124">
        <v>0</v>
      </c>
      <c r="S124">
        <v>0</v>
      </c>
      <c r="T124">
        <v>0</v>
      </c>
      <c r="U124">
        <v>0</v>
      </c>
      <c r="V124">
        <v>0</v>
      </c>
      <c r="W124">
        <v>0</v>
      </c>
      <c r="X124">
        <v>0</v>
      </c>
      <c r="Y124">
        <v>0</v>
      </c>
      <c r="Z124">
        <v>0</v>
      </c>
      <c r="AA124">
        <v>0</v>
      </c>
      <c r="AB124">
        <v>0</v>
      </c>
    </row>
    <row r="125" spans="1:28" x14ac:dyDescent="0.3">
      <c r="A125" s="1">
        <v>44076</v>
      </c>
      <c r="B125" t="s">
        <v>195</v>
      </c>
      <c r="C125">
        <v>1</v>
      </c>
      <c r="D125">
        <v>0</v>
      </c>
      <c r="E125">
        <v>0</v>
      </c>
      <c r="F125">
        <v>0</v>
      </c>
      <c r="G125">
        <v>0</v>
      </c>
      <c r="H125">
        <v>0</v>
      </c>
      <c r="I125">
        <v>0</v>
      </c>
      <c r="J125">
        <v>0</v>
      </c>
      <c r="K125">
        <v>0</v>
      </c>
      <c r="L125">
        <v>0</v>
      </c>
      <c r="M125">
        <v>2182271</v>
      </c>
      <c r="N125" t="s">
        <v>196</v>
      </c>
      <c r="O125" t="s">
        <v>197</v>
      </c>
      <c r="P125">
        <v>0</v>
      </c>
      <c r="Q125">
        <v>0</v>
      </c>
      <c r="R125">
        <v>0</v>
      </c>
      <c r="S125">
        <v>0</v>
      </c>
      <c r="T125">
        <v>0</v>
      </c>
      <c r="U125">
        <v>0</v>
      </c>
      <c r="V125">
        <v>0</v>
      </c>
      <c r="W125">
        <v>0</v>
      </c>
      <c r="X125">
        <v>0</v>
      </c>
      <c r="Y125">
        <v>0</v>
      </c>
      <c r="Z125">
        <v>0</v>
      </c>
      <c r="AA125">
        <v>0</v>
      </c>
      <c r="AB125">
        <v>0</v>
      </c>
    </row>
    <row r="126" spans="1:28" x14ac:dyDescent="0.3">
      <c r="A126" s="1">
        <v>44076</v>
      </c>
      <c r="B126" t="s">
        <v>234</v>
      </c>
      <c r="C126">
        <v>1</v>
      </c>
      <c r="D126">
        <v>0</v>
      </c>
      <c r="E126">
        <v>0</v>
      </c>
      <c r="F126">
        <v>0</v>
      </c>
      <c r="G126">
        <v>0</v>
      </c>
      <c r="H126">
        <v>0</v>
      </c>
      <c r="I126">
        <v>0</v>
      </c>
      <c r="J126">
        <v>0</v>
      </c>
      <c r="K126">
        <v>0</v>
      </c>
      <c r="L126">
        <v>0</v>
      </c>
      <c r="M126">
        <v>2243506</v>
      </c>
      <c r="N126" t="s">
        <v>235</v>
      </c>
      <c r="O126" t="s">
        <v>236</v>
      </c>
      <c r="P126">
        <v>0</v>
      </c>
      <c r="Q126">
        <v>0</v>
      </c>
      <c r="R126">
        <v>0</v>
      </c>
      <c r="S126">
        <v>0</v>
      </c>
      <c r="T126">
        <v>0</v>
      </c>
      <c r="U126">
        <v>0</v>
      </c>
      <c r="V126">
        <v>0</v>
      </c>
      <c r="W126">
        <v>0</v>
      </c>
      <c r="X126">
        <v>0</v>
      </c>
      <c r="Y126">
        <v>0</v>
      </c>
      <c r="Z126">
        <v>0</v>
      </c>
      <c r="AA126">
        <v>0</v>
      </c>
      <c r="AB126">
        <v>0</v>
      </c>
    </row>
    <row r="127" spans="1:28" x14ac:dyDescent="0.3">
      <c r="A127" s="1">
        <v>44076</v>
      </c>
      <c r="B127" t="s">
        <v>198</v>
      </c>
      <c r="C127">
        <v>1</v>
      </c>
      <c r="D127">
        <v>0</v>
      </c>
      <c r="E127">
        <v>0</v>
      </c>
      <c r="F127">
        <v>0</v>
      </c>
      <c r="G127">
        <v>0</v>
      </c>
      <c r="H127">
        <v>0</v>
      </c>
      <c r="I127">
        <v>0</v>
      </c>
      <c r="J127">
        <v>0</v>
      </c>
      <c r="K127">
        <v>0</v>
      </c>
      <c r="L127">
        <v>0</v>
      </c>
      <c r="M127">
        <v>2292146</v>
      </c>
      <c r="N127" t="s">
        <v>199</v>
      </c>
      <c r="O127" t="s">
        <v>200</v>
      </c>
      <c r="P127">
        <v>0</v>
      </c>
      <c r="Q127">
        <v>0</v>
      </c>
      <c r="R127">
        <v>0</v>
      </c>
      <c r="S127">
        <v>0</v>
      </c>
      <c r="T127">
        <v>0</v>
      </c>
      <c r="U127">
        <v>0</v>
      </c>
      <c r="V127">
        <v>0</v>
      </c>
      <c r="W127">
        <v>0</v>
      </c>
      <c r="X127">
        <v>0</v>
      </c>
      <c r="Y127">
        <v>0</v>
      </c>
      <c r="Z127">
        <v>0</v>
      </c>
      <c r="AA127">
        <v>0</v>
      </c>
      <c r="AB127">
        <v>0</v>
      </c>
    </row>
    <row r="128" spans="1:28" x14ac:dyDescent="0.3">
      <c r="A128" s="1">
        <v>44077</v>
      </c>
      <c r="B128" t="s">
        <v>28</v>
      </c>
      <c r="C128">
        <v>101</v>
      </c>
      <c r="D128">
        <v>958.5</v>
      </c>
      <c r="E128">
        <v>0</v>
      </c>
      <c r="F128">
        <v>958.5</v>
      </c>
      <c r="G128">
        <v>5</v>
      </c>
      <c r="H128">
        <v>0</v>
      </c>
      <c r="I128">
        <v>143.78</v>
      </c>
      <c r="J128">
        <v>4.95</v>
      </c>
      <c r="K128">
        <v>142.36000000000001</v>
      </c>
      <c r="L128">
        <v>191.7</v>
      </c>
      <c r="M128">
        <v>314743</v>
      </c>
      <c r="N128" t="s">
        <v>29</v>
      </c>
      <c r="O128" t="s">
        <v>30</v>
      </c>
      <c r="P128">
        <v>5</v>
      </c>
      <c r="Q128">
        <v>0</v>
      </c>
      <c r="R128">
        <v>0</v>
      </c>
      <c r="S128">
        <v>0</v>
      </c>
      <c r="T128">
        <v>0</v>
      </c>
      <c r="U128">
        <v>0</v>
      </c>
      <c r="V128">
        <v>143.78</v>
      </c>
      <c r="W128">
        <v>0</v>
      </c>
      <c r="X128">
        <v>0</v>
      </c>
      <c r="Y128">
        <v>0</v>
      </c>
      <c r="Z128">
        <v>0</v>
      </c>
      <c r="AA128">
        <v>0</v>
      </c>
      <c r="AB128">
        <v>28.76</v>
      </c>
    </row>
    <row r="129" spans="1:28" x14ac:dyDescent="0.3">
      <c r="A129" s="1">
        <v>44077</v>
      </c>
      <c r="B129" t="s">
        <v>90</v>
      </c>
      <c r="C129">
        <v>6</v>
      </c>
      <c r="D129">
        <v>238</v>
      </c>
      <c r="E129">
        <v>0</v>
      </c>
      <c r="F129">
        <v>238</v>
      </c>
      <c r="G129">
        <v>2</v>
      </c>
      <c r="H129">
        <v>0</v>
      </c>
      <c r="I129">
        <v>7.14</v>
      </c>
      <c r="J129">
        <v>33.33</v>
      </c>
      <c r="K129">
        <v>119</v>
      </c>
      <c r="L129">
        <v>119</v>
      </c>
      <c r="M129">
        <v>136482</v>
      </c>
      <c r="N129" t="s">
        <v>91</v>
      </c>
      <c r="O129" t="s">
        <v>92</v>
      </c>
      <c r="P129">
        <v>2</v>
      </c>
      <c r="Q129">
        <v>0</v>
      </c>
      <c r="R129">
        <v>0</v>
      </c>
      <c r="S129">
        <v>0</v>
      </c>
      <c r="T129">
        <v>0</v>
      </c>
      <c r="U129">
        <v>0</v>
      </c>
      <c r="V129">
        <v>7.14</v>
      </c>
      <c r="W129">
        <v>0</v>
      </c>
      <c r="X129">
        <v>0</v>
      </c>
      <c r="Y129">
        <v>0</v>
      </c>
      <c r="Z129">
        <v>0</v>
      </c>
      <c r="AA129">
        <v>0</v>
      </c>
      <c r="AB129">
        <v>1.43</v>
      </c>
    </row>
    <row r="130" spans="1:28" x14ac:dyDescent="0.3">
      <c r="A130" s="1">
        <v>44077</v>
      </c>
      <c r="B130" t="s">
        <v>129</v>
      </c>
      <c r="C130">
        <v>2</v>
      </c>
      <c r="D130">
        <v>159.19999999999999</v>
      </c>
      <c r="E130">
        <v>0</v>
      </c>
      <c r="F130">
        <v>159.19999999999999</v>
      </c>
      <c r="G130">
        <v>1</v>
      </c>
      <c r="H130">
        <v>0</v>
      </c>
      <c r="I130">
        <v>4.78</v>
      </c>
      <c r="J130">
        <v>50</v>
      </c>
      <c r="K130">
        <v>239</v>
      </c>
      <c r="L130">
        <v>159.19999999999999</v>
      </c>
      <c r="M130">
        <v>1140999</v>
      </c>
      <c r="N130" t="s">
        <v>130</v>
      </c>
      <c r="O130" t="s">
        <v>131</v>
      </c>
      <c r="P130">
        <v>1</v>
      </c>
      <c r="Q130">
        <v>0</v>
      </c>
      <c r="R130">
        <v>0</v>
      </c>
      <c r="S130">
        <v>0</v>
      </c>
      <c r="T130">
        <v>0</v>
      </c>
      <c r="U130">
        <v>0</v>
      </c>
      <c r="V130">
        <v>4.78</v>
      </c>
      <c r="W130">
        <v>0</v>
      </c>
      <c r="X130">
        <v>0</v>
      </c>
      <c r="Y130">
        <v>0</v>
      </c>
      <c r="Z130">
        <v>0</v>
      </c>
      <c r="AA130">
        <v>0</v>
      </c>
      <c r="AB130">
        <v>0.96</v>
      </c>
    </row>
    <row r="131" spans="1:28" x14ac:dyDescent="0.3">
      <c r="A131" s="1">
        <v>44077</v>
      </c>
      <c r="B131" t="s">
        <v>46</v>
      </c>
      <c r="C131">
        <v>14</v>
      </c>
      <c r="D131">
        <v>139.30000000000001</v>
      </c>
      <c r="E131">
        <v>0</v>
      </c>
      <c r="F131">
        <v>139.30000000000001</v>
      </c>
      <c r="G131">
        <v>1</v>
      </c>
      <c r="H131">
        <v>0</v>
      </c>
      <c r="I131">
        <v>4.18</v>
      </c>
      <c r="J131">
        <v>7.14</v>
      </c>
      <c r="K131">
        <v>29.86</v>
      </c>
      <c r="L131">
        <v>139.30000000000001</v>
      </c>
      <c r="M131">
        <v>445875</v>
      </c>
      <c r="N131" t="s">
        <v>47</v>
      </c>
      <c r="O131" t="s">
        <v>48</v>
      </c>
      <c r="P131">
        <v>1</v>
      </c>
      <c r="Q131">
        <v>0</v>
      </c>
      <c r="R131">
        <v>0</v>
      </c>
      <c r="S131">
        <v>0</v>
      </c>
      <c r="T131">
        <v>0</v>
      </c>
      <c r="U131">
        <v>0</v>
      </c>
      <c r="V131">
        <v>4.18</v>
      </c>
      <c r="W131">
        <v>0</v>
      </c>
      <c r="X131">
        <v>0</v>
      </c>
      <c r="Y131">
        <v>0</v>
      </c>
      <c r="Z131">
        <v>0</v>
      </c>
      <c r="AA131">
        <v>0</v>
      </c>
      <c r="AB131">
        <v>0.84</v>
      </c>
    </row>
    <row r="132" spans="1:28" x14ac:dyDescent="0.3">
      <c r="A132" s="1">
        <v>44077</v>
      </c>
      <c r="B132" t="s">
        <v>49</v>
      </c>
      <c r="C132">
        <v>57</v>
      </c>
      <c r="D132">
        <v>0</v>
      </c>
      <c r="E132">
        <v>0</v>
      </c>
      <c r="F132">
        <v>0</v>
      </c>
      <c r="G132">
        <v>0</v>
      </c>
      <c r="H132">
        <v>0</v>
      </c>
      <c r="I132">
        <v>0</v>
      </c>
      <c r="J132">
        <v>0</v>
      </c>
      <c r="K132">
        <v>0</v>
      </c>
      <c r="L132">
        <v>0</v>
      </c>
      <c r="M132">
        <v>725033</v>
      </c>
      <c r="N132" t="s">
        <v>50</v>
      </c>
      <c r="O132" t="s">
        <v>51</v>
      </c>
      <c r="P132">
        <v>0</v>
      </c>
      <c r="Q132">
        <v>0</v>
      </c>
      <c r="R132">
        <v>0</v>
      </c>
      <c r="S132">
        <v>0</v>
      </c>
      <c r="T132">
        <v>0</v>
      </c>
      <c r="U132">
        <v>0</v>
      </c>
      <c r="V132">
        <v>0</v>
      </c>
      <c r="W132">
        <v>0</v>
      </c>
      <c r="X132">
        <v>0</v>
      </c>
      <c r="Y132">
        <v>0</v>
      </c>
      <c r="Z132">
        <v>0</v>
      </c>
      <c r="AA132">
        <v>0</v>
      </c>
      <c r="AB132">
        <v>0</v>
      </c>
    </row>
    <row r="133" spans="1:28" x14ac:dyDescent="0.3">
      <c r="A133" s="1">
        <v>44077</v>
      </c>
      <c r="B133" t="s">
        <v>40</v>
      </c>
      <c r="C133">
        <v>45</v>
      </c>
      <c r="D133">
        <v>0</v>
      </c>
      <c r="E133">
        <v>0</v>
      </c>
      <c r="F133">
        <v>0</v>
      </c>
      <c r="G133">
        <v>0</v>
      </c>
      <c r="H133">
        <v>0</v>
      </c>
      <c r="I133">
        <v>0</v>
      </c>
      <c r="J133">
        <v>0</v>
      </c>
      <c r="K133">
        <v>0</v>
      </c>
      <c r="L133">
        <v>0</v>
      </c>
      <c r="M133">
        <v>1088116</v>
      </c>
      <c r="N133" t="s">
        <v>41</v>
      </c>
      <c r="O133" t="s">
        <v>42</v>
      </c>
      <c r="P133">
        <v>0</v>
      </c>
      <c r="Q133">
        <v>0</v>
      </c>
      <c r="R133">
        <v>0</v>
      </c>
      <c r="S133">
        <v>0</v>
      </c>
      <c r="T133">
        <v>0</v>
      </c>
      <c r="U133">
        <v>0</v>
      </c>
      <c r="V133">
        <v>0</v>
      </c>
      <c r="W133">
        <v>0</v>
      </c>
      <c r="X133">
        <v>0</v>
      </c>
      <c r="Y133">
        <v>0</v>
      </c>
      <c r="Z133">
        <v>0</v>
      </c>
      <c r="AA133">
        <v>0</v>
      </c>
      <c r="AB133">
        <v>0</v>
      </c>
    </row>
    <row r="134" spans="1:28" x14ac:dyDescent="0.3">
      <c r="A134" s="1">
        <v>44077</v>
      </c>
      <c r="B134" t="s">
        <v>52</v>
      </c>
      <c r="C134">
        <v>39</v>
      </c>
      <c r="D134">
        <v>0</v>
      </c>
      <c r="E134">
        <v>0</v>
      </c>
      <c r="F134">
        <v>0</v>
      </c>
      <c r="G134">
        <v>0</v>
      </c>
      <c r="H134">
        <v>0</v>
      </c>
      <c r="I134">
        <v>0</v>
      </c>
      <c r="J134">
        <v>0</v>
      </c>
      <c r="K134">
        <v>0</v>
      </c>
      <c r="L134">
        <v>0</v>
      </c>
      <c r="M134">
        <v>1584217</v>
      </c>
      <c r="N134" t="s">
        <v>53</v>
      </c>
      <c r="O134" t="s">
        <v>54</v>
      </c>
      <c r="P134">
        <v>0</v>
      </c>
      <c r="Q134">
        <v>0</v>
      </c>
      <c r="R134">
        <v>0</v>
      </c>
      <c r="S134">
        <v>0</v>
      </c>
      <c r="T134">
        <v>0</v>
      </c>
      <c r="U134">
        <v>0</v>
      </c>
      <c r="V134">
        <v>0</v>
      </c>
      <c r="W134">
        <v>0</v>
      </c>
      <c r="X134">
        <v>0</v>
      </c>
      <c r="Y134">
        <v>0</v>
      </c>
      <c r="Z134">
        <v>0</v>
      </c>
      <c r="AA134">
        <v>0</v>
      </c>
      <c r="AB134">
        <v>0</v>
      </c>
    </row>
    <row r="135" spans="1:28" x14ac:dyDescent="0.3">
      <c r="A135" s="1">
        <v>44077</v>
      </c>
      <c r="B135" t="s">
        <v>43</v>
      </c>
      <c r="C135">
        <v>28</v>
      </c>
      <c r="D135">
        <v>0</v>
      </c>
      <c r="E135">
        <v>0</v>
      </c>
      <c r="F135">
        <v>0</v>
      </c>
      <c r="G135">
        <v>0</v>
      </c>
      <c r="H135">
        <v>0</v>
      </c>
      <c r="I135">
        <v>0</v>
      </c>
      <c r="J135">
        <v>0</v>
      </c>
      <c r="K135">
        <v>0</v>
      </c>
      <c r="L135">
        <v>0</v>
      </c>
      <c r="M135">
        <v>389818</v>
      </c>
      <c r="N135" t="s">
        <v>44</v>
      </c>
      <c r="O135" t="s">
        <v>45</v>
      </c>
      <c r="P135">
        <v>0</v>
      </c>
      <c r="Q135">
        <v>0</v>
      </c>
      <c r="R135">
        <v>0</v>
      </c>
      <c r="S135">
        <v>0</v>
      </c>
      <c r="T135">
        <v>0</v>
      </c>
      <c r="U135">
        <v>0</v>
      </c>
      <c r="V135">
        <v>0</v>
      </c>
      <c r="W135">
        <v>0</v>
      </c>
      <c r="X135">
        <v>0</v>
      </c>
      <c r="Y135">
        <v>0</v>
      </c>
      <c r="Z135">
        <v>0</v>
      </c>
      <c r="AA135">
        <v>0</v>
      </c>
      <c r="AB135">
        <v>0</v>
      </c>
    </row>
    <row r="136" spans="1:28" x14ac:dyDescent="0.3">
      <c r="A136" s="1">
        <v>44077</v>
      </c>
      <c r="B136" t="s">
        <v>55</v>
      </c>
      <c r="C136">
        <v>24</v>
      </c>
      <c r="D136">
        <v>0</v>
      </c>
      <c r="E136">
        <v>0</v>
      </c>
      <c r="F136">
        <v>0</v>
      </c>
      <c r="G136">
        <v>0</v>
      </c>
      <c r="H136">
        <v>0</v>
      </c>
      <c r="I136">
        <v>0</v>
      </c>
      <c r="J136">
        <v>0</v>
      </c>
      <c r="K136">
        <v>0</v>
      </c>
      <c r="L136">
        <v>0</v>
      </c>
      <c r="M136">
        <v>1773960</v>
      </c>
      <c r="N136" t="s">
        <v>35</v>
      </c>
      <c r="O136" t="s">
        <v>56</v>
      </c>
      <c r="P136">
        <v>0</v>
      </c>
      <c r="Q136">
        <v>0</v>
      </c>
      <c r="R136">
        <v>0</v>
      </c>
      <c r="S136">
        <v>0</v>
      </c>
      <c r="T136">
        <v>0</v>
      </c>
      <c r="U136">
        <v>0</v>
      </c>
      <c r="V136">
        <v>0</v>
      </c>
      <c r="W136">
        <v>0</v>
      </c>
      <c r="X136">
        <v>0</v>
      </c>
      <c r="Y136">
        <v>0</v>
      </c>
      <c r="Z136">
        <v>0</v>
      </c>
      <c r="AA136">
        <v>0</v>
      </c>
      <c r="AB136">
        <v>0</v>
      </c>
    </row>
    <row r="137" spans="1:28" x14ac:dyDescent="0.3">
      <c r="A137" s="1">
        <v>44077</v>
      </c>
      <c r="B137" t="s">
        <v>37</v>
      </c>
      <c r="C137">
        <v>20</v>
      </c>
      <c r="D137">
        <v>0</v>
      </c>
      <c r="E137">
        <v>0</v>
      </c>
      <c r="F137">
        <v>0</v>
      </c>
      <c r="G137">
        <v>0</v>
      </c>
      <c r="H137">
        <v>0</v>
      </c>
      <c r="I137">
        <v>0</v>
      </c>
      <c r="J137">
        <v>0</v>
      </c>
      <c r="K137">
        <v>0</v>
      </c>
      <c r="L137">
        <v>0</v>
      </c>
      <c r="M137">
        <v>201285</v>
      </c>
      <c r="N137" t="s">
        <v>38</v>
      </c>
      <c r="O137" t="s">
        <v>39</v>
      </c>
      <c r="P137">
        <v>0</v>
      </c>
      <c r="Q137">
        <v>0</v>
      </c>
      <c r="R137">
        <v>0</v>
      </c>
      <c r="S137">
        <v>0</v>
      </c>
      <c r="T137">
        <v>0</v>
      </c>
      <c r="U137">
        <v>0</v>
      </c>
      <c r="V137">
        <v>0</v>
      </c>
      <c r="W137">
        <v>0</v>
      </c>
      <c r="X137">
        <v>0</v>
      </c>
      <c r="Y137">
        <v>0</v>
      </c>
      <c r="Z137">
        <v>0</v>
      </c>
      <c r="AA137">
        <v>0</v>
      </c>
      <c r="AB137">
        <v>0</v>
      </c>
    </row>
    <row r="138" spans="1:28" x14ac:dyDescent="0.3">
      <c r="A138" s="1">
        <v>44077</v>
      </c>
      <c r="B138" t="s">
        <v>78</v>
      </c>
      <c r="C138">
        <v>13</v>
      </c>
      <c r="D138">
        <v>0</v>
      </c>
      <c r="E138">
        <v>0</v>
      </c>
      <c r="F138">
        <v>0</v>
      </c>
      <c r="G138">
        <v>0</v>
      </c>
      <c r="H138">
        <v>0</v>
      </c>
      <c r="I138">
        <v>0</v>
      </c>
      <c r="J138">
        <v>0</v>
      </c>
      <c r="K138">
        <v>0</v>
      </c>
      <c r="L138">
        <v>0</v>
      </c>
      <c r="M138">
        <v>1014069</v>
      </c>
      <c r="N138" t="s">
        <v>79</v>
      </c>
      <c r="O138" t="s">
        <v>80</v>
      </c>
      <c r="P138">
        <v>0</v>
      </c>
      <c r="Q138">
        <v>0</v>
      </c>
      <c r="R138">
        <v>0</v>
      </c>
      <c r="S138">
        <v>0</v>
      </c>
      <c r="T138">
        <v>0</v>
      </c>
      <c r="U138">
        <v>0</v>
      </c>
      <c r="V138">
        <v>0</v>
      </c>
      <c r="W138">
        <v>0</v>
      </c>
      <c r="X138">
        <v>0</v>
      </c>
      <c r="Y138">
        <v>0</v>
      </c>
      <c r="Z138">
        <v>0</v>
      </c>
      <c r="AA138">
        <v>0</v>
      </c>
      <c r="AB138">
        <v>0</v>
      </c>
    </row>
    <row r="139" spans="1:28" x14ac:dyDescent="0.3">
      <c r="A139" s="1">
        <v>44077</v>
      </c>
      <c r="B139" t="s">
        <v>63</v>
      </c>
      <c r="C139">
        <v>11</v>
      </c>
      <c r="D139">
        <v>0</v>
      </c>
      <c r="E139">
        <v>0</v>
      </c>
      <c r="F139">
        <v>0</v>
      </c>
      <c r="G139">
        <v>0</v>
      </c>
      <c r="H139">
        <v>0</v>
      </c>
      <c r="I139">
        <v>0</v>
      </c>
      <c r="J139">
        <v>0</v>
      </c>
      <c r="K139">
        <v>0</v>
      </c>
      <c r="L139">
        <v>0</v>
      </c>
      <c r="M139">
        <v>140995</v>
      </c>
      <c r="N139" t="s">
        <v>64</v>
      </c>
      <c r="O139" t="s">
        <v>65</v>
      </c>
      <c r="P139">
        <v>0</v>
      </c>
      <c r="Q139">
        <v>0</v>
      </c>
      <c r="R139">
        <v>0</v>
      </c>
      <c r="S139">
        <v>0</v>
      </c>
      <c r="T139">
        <v>0</v>
      </c>
      <c r="U139">
        <v>0</v>
      </c>
      <c r="V139">
        <v>0</v>
      </c>
      <c r="W139">
        <v>0</v>
      </c>
      <c r="X139">
        <v>0</v>
      </c>
      <c r="Y139">
        <v>0</v>
      </c>
      <c r="Z139">
        <v>0</v>
      </c>
      <c r="AA139">
        <v>0</v>
      </c>
      <c r="AB139">
        <v>0</v>
      </c>
    </row>
    <row r="140" spans="1:28" x14ac:dyDescent="0.3">
      <c r="A140" s="1">
        <v>44077</v>
      </c>
      <c r="B140" t="s">
        <v>34</v>
      </c>
      <c r="C140">
        <v>11</v>
      </c>
      <c r="D140">
        <v>0</v>
      </c>
      <c r="E140">
        <v>0</v>
      </c>
      <c r="F140">
        <v>0</v>
      </c>
      <c r="G140">
        <v>0</v>
      </c>
      <c r="H140">
        <v>0</v>
      </c>
      <c r="I140">
        <v>0</v>
      </c>
      <c r="J140">
        <v>0</v>
      </c>
      <c r="K140">
        <v>0</v>
      </c>
      <c r="L140">
        <v>0</v>
      </c>
      <c r="M140">
        <v>2284878</v>
      </c>
      <c r="N140" t="s">
        <v>35</v>
      </c>
      <c r="O140" t="s">
        <v>36</v>
      </c>
      <c r="P140">
        <v>0</v>
      </c>
      <c r="Q140">
        <v>0</v>
      </c>
      <c r="R140">
        <v>0</v>
      </c>
      <c r="S140">
        <v>0</v>
      </c>
      <c r="T140">
        <v>0</v>
      </c>
      <c r="U140">
        <v>0</v>
      </c>
      <c r="V140">
        <v>0</v>
      </c>
      <c r="W140">
        <v>0</v>
      </c>
      <c r="X140">
        <v>0</v>
      </c>
      <c r="Y140">
        <v>0</v>
      </c>
      <c r="Z140">
        <v>0</v>
      </c>
      <c r="AA140">
        <v>0</v>
      </c>
      <c r="AB140">
        <v>0</v>
      </c>
    </row>
    <row r="141" spans="1:28" x14ac:dyDescent="0.3">
      <c r="A141" s="1">
        <v>44077</v>
      </c>
      <c r="B141" t="s">
        <v>57</v>
      </c>
      <c r="C141">
        <v>9</v>
      </c>
      <c r="D141">
        <v>0</v>
      </c>
      <c r="E141">
        <v>0</v>
      </c>
      <c r="F141">
        <v>0</v>
      </c>
      <c r="G141">
        <v>0</v>
      </c>
      <c r="H141">
        <v>0</v>
      </c>
      <c r="I141">
        <v>0</v>
      </c>
      <c r="J141">
        <v>0</v>
      </c>
      <c r="K141">
        <v>0</v>
      </c>
      <c r="L141">
        <v>0</v>
      </c>
      <c r="M141">
        <v>2053730</v>
      </c>
      <c r="N141" t="s">
        <v>58</v>
      </c>
      <c r="O141" t="s">
        <v>59</v>
      </c>
      <c r="P141">
        <v>0</v>
      </c>
      <c r="Q141">
        <v>0</v>
      </c>
      <c r="R141">
        <v>0</v>
      </c>
      <c r="S141">
        <v>0</v>
      </c>
      <c r="T141">
        <v>0</v>
      </c>
      <c r="U141">
        <v>0</v>
      </c>
      <c r="V141">
        <v>0</v>
      </c>
      <c r="W141">
        <v>0</v>
      </c>
      <c r="X141">
        <v>0</v>
      </c>
      <c r="Y141">
        <v>0</v>
      </c>
      <c r="Z141">
        <v>0</v>
      </c>
      <c r="AA141">
        <v>0</v>
      </c>
      <c r="AB141">
        <v>0</v>
      </c>
    </row>
    <row r="142" spans="1:28" x14ac:dyDescent="0.3">
      <c r="A142" s="1">
        <v>44077</v>
      </c>
      <c r="B142" t="s">
        <v>60</v>
      </c>
      <c r="C142">
        <v>8</v>
      </c>
      <c r="D142">
        <v>0</v>
      </c>
      <c r="E142">
        <v>0</v>
      </c>
      <c r="F142">
        <v>0</v>
      </c>
      <c r="G142">
        <v>0</v>
      </c>
      <c r="H142">
        <v>0</v>
      </c>
      <c r="I142">
        <v>0</v>
      </c>
      <c r="J142">
        <v>0</v>
      </c>
      <c r="K142">
        <v>0</v>
      </c>
      <c r="L142">
        <v>0</v>
      </c>
      <c r="M142">
        <v>748814</v>
      </c>
      <c r="N142" t="s">
        <v>61</v>
      </c>
      <c r="O142" t="s">
        <v>62</v>
      </c>
      <c r="P142">
        <v>0</v>
      </c>
      <c r="Q142">
        <v>0</v>
      </c>
      <c r="R142">
        <v>0</v>
      </c>
      <c r="S142">
        <v>0</v>
      </c>
      <c r="T142">
        <v>0</v>
      </c>
      <c r="U142">
        <v>0</v>
      </c>
      <c r="V142">
        <v>0</v>
      </c>
      <c r="W142">
        <v>0</v>
      </c>
      <c r="X142">
        <v>0</v>
      </c>
      <c r="Y142">
        <v>0</v>
      </c>
      <c r="Z142">
        <v>0</v>
      </c>
      <c r="AA142">
        <v>0</v>
      </c>
      <c r="AB142">
        <v>0</v>
      </c>
    </row>
    <row r="143" spans="1:28" x14ac:dyDescent="0.3">
      <c r="A143" s="1">
        <v>44077</v>
      </c>
      <c r="B143" t="s">
        <v>69</v>
      </c>
      <c r="C143">
        <v>6</v>
      </c>
      <c r="D143">
        <v>0</v>
      </c>
      <c r="E143">
        <v>0</v>
      </c>
      <c r="F143">
        <v>0</v>
      </c>
      <c r="G143">
        <v>0</v>
      </c>
      <c r="H143">
        <v>0</v>
      </c>
      <c r="I143">
        <v>0</v>
      </c>
      <c r="J143">
        <v>0</v>
      </c>
      <c r="K143">
        <v>0</v>
      </c>
      <c r="L143">
        <v>0</v>
      </c>
      <c r="M143">
        <v>1772040</v>
      </c>
      <c r="N143" t="s">
        <v>70</v>
      </c>
      <c r="O143" t="s">
        <v>71</v>
      </c>
      <c r="P143">
        <v>0</v>
      </c>
      <c r="Q143">
        <v>0</v>
      </c>
      <c r="R143">
        <v>0</v>
      </c>
      <c r="S143">
        <v>0</v>
      </c>
      <c r="T143">
        <v>0</v>
      </c>
      <c r="U143">
        <v>0</v>
      </c>
      <c r="V143">
        <v>0</v>
      </c>
      <c r="W143">
        <v>0</v>
      </c>
      <c r="X143">
        <v>0</v>
      </c>
      <c r="Y143">
        <v>0</v>
      </c>
      <c r="Z143">
        <v>0</v>
      </c>
      <c r="AA143">
        <v>0</v>
      </c>
      <c r="AB143">
        <v>0</v>
      </c>
    </row>
    <row r="144" spans="1:28" x14ac:dyDescent="0.3">
      <c r="A144" s="1">
        <v>44077</v>
      </c>
      <c r="B144" t="s">
        <v>72</v>
      </c>
      <c r="C144">
        <v>4</v>
      </c>
      <c r="D144">
        <v>0</v>
      </c>
      <c r="E144">
        <v>0</v>
      </c>
      <c r="F144">
        <v>0</v>
      </c>
      <c r="G144">
        <v>0</v>
      </c>
      <c r="H144">
        <v>0</v>
      </c>
      <c r="I144">
        <v>0</v>
      </c>
      <c r="J144">
        <v>0</v>
      </c>
      <c r="K144">
        <v>0</v>
      </c>
      <c r="L144">
        <v>0</v>
      </c>
      <c r="M144">
        <v>514792</v>
      </c>
      <c r="N144" t="s">
        <v>73</v>
      </c>
      <c r="O144" t="s">
        <v>74</v>
      </c>
      <c r="P144">
        <v>0</v>
      </c>
      <c r="Q144">
        <v>0</v>
      </c>
      <c r="R144">
        <v>0</v>
      </c>
      <c r="S144">
        <v>0</v>
      </c>
      <c r="T144">
        <v>0</v>
      </c>
      <c r="U144">
        <v>0</v>
      </c>
      <c r="V144">
        <v>0</v>
      </c>
      <c r="W144">
        <v>0</v>
      </c>
      <c r="X144">
        <v>0</v>
      </c>
      <c r="Y144">
        <v>0</v>
      </c>
      <c r="Z144">
        <v>0</v>
      </c>
      <c r="AA144">
        <v>0</v>
      </c>
      <c r="AB144">
        <v>0</v>
      </c>
    </row>
    <row r="145" spans="1:28" x14ac:dyDescent="0.3">
      <c r="A145" s="1">
        <v>44077</v>
      </c>
      <c r="B145" t="s">
        <v>93</v>
      </c>
      <c r="C145">
        <v>4</v>
      </c>
      <c r="D145">
        <v>0</v>
      </c>
      <c r="E145">
        <v>0</v>
      </c>
      <c r="F145">
        <v>0</v>
      </c>
      <c r="G145">
        <v>0</v>
      </c>
      <c r="H145">
        <v>0</v>
      </c>
      <c r="I145">
        <v>0</v>
      </c>
      <c r="J145">
        <v>0</v>
      </c>
      <c r="K145">
        <v>0</v>
      </c>
      <c r="L145">
        <v>0</v>
      </c>
      <c r="M145">
        <v>1238556</v>
      </c>
      <c r="N145" t="s">
        <v>94</v>
      </c>
      <c r="O145" t="s">
        <v>95</v>
      </c>
      <c r="P145">
        <v>0</v>
      </c>
      <c r="Q145">
        <v>0</v>
      </c>
      <c r="R145">
        <v>0</v>
      </c>
      <c r="S145">
        <v>0</v>
      </c>
      <c r="T145">
        <v>0</v>
      </c>
      <c r="U145">
        <v>0</v>
      </c>
      <c r="V145">
        <v>0</v>
      </c>
      <c r="W145">
        <v>0</v>
      </c>
      <c r="X145">
        <v>0</v>
      </c>
      <c r="Y145">
        <v>0</v>
      </c>
      <c r="Z145">
        <v>0</v>
      </c>
      <c r="AA145">
        <v>0</v>
      </c>
      <c r="AB145">
        <v>0</v>
      </c>
    </row>
    <row r="146" spans="1:28" x14ac:dyDescent="0.3">
      <c r="A146" s="1">
        <v>44077</v>
      </c>
      <c r="B146" t="s">
        <v>66</v>
      </c>
      <c r="C146">
        <v>4</v>
      </c>
      <c r="D146">
        <v>0</v>
      </c>
      <c r="E146">
        <v>0</v>
      </c>
      <c r="F146">
        <v>0</v>
      </c>
      <c r="G146">
        <v>0</v>
      </c>
      <c r="H146">
        <v>0</v>
      </c>
      <c r="I146">
        <v>0</v>
      </c>
      <c r="J146">
        <v>0</v>
      </c>
      <c r="K146">
        <v>0</v>
      </c>
      <c r="L146">
        <v>0</v>
      </c>
      <c r="M146">
        <v>1413766</v>
      </c>
      <c r="N146" t="s">
        <v>67</v>
      </c>
      <c r="O146" t="s">
        <v>68</v>
      </c>
      <c r="P146">
        <v>0</v>
      </c>
      <c r="Q146">
        <v>0</v>
      </c>
      <c r="R146">
        <v>0</v>
      </c>
      <c r="S146">
        <v>0</v>
      </c>
      <c r="T146">
        <v>0</v>
      </c>
      <c r="U146">
        <v>0</v>
      </c>
      <c r="V146">
        <v>0</v>
      </c>
      <c r="W146">
        <v>0</v>
      </c>
      <c r="X146">
        <v>0</v>
      </c>
      <c r="Y146">
        <v>0</v>
      </c>
      <c r="Z146">
        <v>0</v>
      </c>
      <c r="AA146">
        <v>0</v>
      </c>
      <c r="AB146">
        <v>0</v>
      </c>
    </row>
    <row r="147" spans="1:28" x14ac:dyDescent="0.3">
      <c r="A147" s="1">
        <v>44077</v>
      </c>
      <c r="B147" t="s">
        <v>234</v>
      </c>
      <c r="C147">
        <v>4</v>
      </c>
      <c r="D147">
        <v>0</v>
      </c>
      <c r="E147">
        <v>0</v>
      </c>
      <c r="F147">
        <v>0</v>
      </c>
      <c r="G147">
        <v>0</v>
      </c>
      <c r="H147">
        <v>0</v>
      </c>
      <c r="I147">
        <v>0</v>
      </c>
      <c r="J147">
        <v>0</v>
      </c>
      <c r="K147">
        <v>0</v>
      </c>
      <c r="L147">
        <v>0</v>
      </c>
      <c r="M147">
        <v>2243506</v>
      </c>
      <c r="N147" t="s">
        <v>235</v>
      </c>
      <c r="O147" t="s">
        <v>236</v>
      </c>
      <c r="P147">
        <v>0</v>
      </c>
      <c r="Q147">
        <v>0</v>
      </c>
      <c r="R147">
        <v>0</v>
      </c>
      <c r="S147">
        <v>0</v>
      </c>
      <c r="T147">
        <v>0</v>
      </c>
      <c r="U147">
        <v>0</v>
      </c>
      <c r="V147">
        <v>0</v>
      </c>
      <c r="W147">
        <v>0</v>
      </c>
      <c r="X147">
        <v>0</v>
      </c>
      <c r="Y147">
        <v>0</v>
      </c>
      <c r="Z147">
        <v>0</v>
      </c>
      <c r="AA147">
        <v>0</v>
      </c>
      <c r="AB147">
        <v>0</v>
      </c>
    </row>
    <row r="148" spans="1:28" x14ac:dyDescent="0.3">
      <c r="A148" s="1">
        <v>44077</v>
      </c>
      <c r="B148" t="s">
        <v>75</v>
      </c>
      <c r="C148">
        <v>3</v>
      </c>
      <c r="D148">
        <v>0</v>
      </c>
      <c r="E148">
        <v>0</v>
      </c>
      <c r="F148">
        <v>0</v>
      </c>
      <c r="G148">
        <v>0</v>
      </c>
      <c r="H148">
        <v>0</v>
      </c>
      <c r="I148">
        <v>0</v>
      </c>
      <c r="J148">
        <v>0</v>
      </c>
      <c r="K148">
        <v>0</v>
      </c>
      <c r="L148">
        <v>0</v>
      </c>
      <c r="M148">
        <v>745788</v>
      </c>
      <c r="N148" t="s">
        <v>76</v>
      </c>
      <c r="O148" t="s">
        <v>77</v>
      </c>
      <c r="P148">
        <v>0</v>
      </c>
      <c r="Q148">
        <v>0</v>
      </c>
      <c r="R148">
        <v>0</v>
      </c>
      <c r="S148">
        <v>0</v>
      </c>
      <c r="T148">
        <v>0</v>
      </c>
      <c r="U148">
        <v>0</v>
      </c>
      <c r="V148">
        <v>0</v>
      </c>
      <c r="W148">
        <v>0</v>
      </c>
      <c r="X148">
        <v>0</v>
      </c>
      <c r="Y148">
        <v>0</v>
      </c>
      <c r="Z148">
        <v>0</v>
      </c>
      <c r="AA148">
        <v>0</v>
      </c>
      <c r="AB148">
        <v>0</v>
      </c>
    </row>
    <row r="149" spans="1:28" x14ac:dyDescent="0.3">
      <c r="A149" s="1">
        <v>44077</v>
      </c>
      <c r="B149" t="s">
        <v>84</v>
      </c>
      <c r="C149">
        <v>3</v>
      </c>
      <c r="D149">
        <v>0</v>
      </c>
      <c r="E149">
        <v>0</v>
      </c>
      <c r="F149">
        <v>0</v>
      </c>
      <c r="G149">
        <v>0</v>
      </c>
      <c r="H149">
        <v>0</v>
      </c>
      <c r="I149">
        <v>0</v>
      </c>
      <c r="J149">
        <v>0</v>
      </c>
      <c r="K149">
        <v>0</v>
      </c>
      <c r="L149">
        <v>0</v>
      </c>
      <c r="M149">
        <v>1242889</v>
      </c>
      <c r="N149" t="s">
        <v>85</v>
      </c>
      <c r="O149" t="s">
        <v>86</v>
      </c>
      <c r="P149">
        <v>0</v>
      </c>
      <c r="Q149">
        <v>0</v>
      </c>
      <c r="R149">
        <v>0</v>
      </c>
      <c r="S149">
        <v>0</v>
      </c>
      <c r="T149">
        <v>0</v>
      </c>
      <c r="U149">
        <v>0</v>
      </c>
      <c r="V149">
        <v>0</v>
      </c>
      <c r="W149">
        <v>0</v>
      </c>
      <c r="X149">
        <v>0</v>
      </c>
      <c r="Y149">
        <v>0</v>
      </c>
      <c r="Z149">
        <v>0</v>
      </c>
      <c r="AA149">
        <v>0</v>
      </c>
      <c r="AB149">
        <v>0</v>
      </c>
    </row>
    <row r="150" spans="1:28" x14ac:dyDescent="0.3">
      <c r="A150" s="1">
        <v>44077</v>
      </c>
      <c r="B150" t="s">
        <v>87</v>
      </c>
      <c r="C150">
        <v>3</v>
      </c>
      <c r="D150">
        <v>0</v>
      </c>
      <c r="E150">
        <v>0</v>
      </c>
      <c r="F150">
        <v>0</v>
      </c>
      <c r="G150">
        <v>0</v>
      </c>
      <c r="H150">
        <v>0</v>
      </c>
      <c r="I150">
        <v>0</v>
      </c>
      <c r="J150">
        <v>0</v>
      </c>
      <c r="K150">
        <v>0</v>
      </c>
      <c r="L150">
        <v>0</v>
      </c>
      <c r="M150">
        <v>1519404</v>
      </c>
      <c r="N150" t="s">
        <v>88</v>
      </c>
      <c r="O150" t="s">
        <v>89</v>
      </c>
      <c r="P150">
        <v>0</v>
      </c>
      <c r="Q150">
        <v>0</v>
      </c>
      <c r="R150">
        <v>0</v>
      </c>
      <c r="S150">
        <v>0</v>
      </c>
      <c r="T150">
        <v>0</v>
      </c>
      <c r="U150">
        <v>0</v>
      </c>
      <c r="V150">
        <v>0</v>
      </c>
      <c r="W150">
        <v>0</v>
      </c>
      <c r="X150">
        <v>0</v>
      </c>
      <c r="Y150">
        <v>0</v>
      </c>
      <c r="Z150">
        <v>0</v>
      </c>
      <c r="AA150">
        <v>0</v>
      </c>
      <c r="AB150">
        <v>0</v>
      </c>
    </row>
    <row r="151" spans="1:28" x14ac:dyDescent="0.3">
      <c r="A151" s="1">
        <v>44077</v>
      </c>
      <c r="B151" t="s">
        <v>195</v>
      </c>
      <c r="C151">
        <v>3</v>
      </c>
      <c r="D151">
        <v>0</v>
      </c>
      <c r="E151">
        <v>0</v>
      </c>
      <c r="F151">
        <v>0</v>
      </c>
      <c r="G151">
        <v>0</v>
      </c>
      <c r="H151">
        <v>0</v>
      </c>
      <c r="I151">
        <v>0</v>
      </c>
      <c r="J151">
        <v>0</v>
      </c>
      <c r="K151">
        <v>0</v>
      </c>
      <c r="L151">
        <v>0</v>
      </c>
      <c r="M151">
        <v>2182271</v>
      </c>
      <c r="N151" t="s">
        <v>196</v>
      </c>
      <c r="O151" t="s">
        <v>197</v>
      </c>
      <c r="P151">
        <v>0</v>
      </c>
      <c r="Q151">
        <v>0</v>
      </c>
      <c r="R151">
        <v>0</v>
      </c>
      <c r="S151">
        <v>0</v>
      </c>
      <c r="T151">
        <v>0</v>
      </c>
      <c r="U151">
        <v>0</v>
      </c>
      <c r="V151">
        <v>0</v>
      </c>
      <c r="W151">
        <v>0</v>
      </c>
      <c r="X151">
        <v>0</v>
      </c>
      <c r="Y151">
        <v>0</v>
      </c>
      <c r="Z151">
        <v>0</v>
      </c>
      <c r="AA151">
        <v>0</v>
      </c>
      <c r="AB151">
        <v>0</v>
      </c>
    </row>
    <row r="152" spans="1:28" x14ac:dyDescent="0.3">
      <c r="A152" s="1">
        <v>44077</v>
      </c>
      <c r="B152" t="s">
        <v>99</v>
      </c>
      <c r="C152">
        <v>2</v>
      </c>
      <c r="D152">
        <v>0</v>
      </c>
      <c r="E152">
        <v>0</v>
      </c>
      <c r="F152">
        <v>0</v>
      </c>
      <c r="G152">
        <v>0</v>
      </c>
      <c r="H152">
        <v>0</v>
      </c>
      <c r="I152">
        <v>0</v>
      </c>
      <c r="J152">
        <v>0</v>
      </c>
      <c r="K152">
        <v>0</v>
      </c>
      <c r="L152">
        <v>0</v>
      </c>
      <c r="M152">
        <v>193744</v>
      </c>
      <c r="N152" t="s">
        <v>100</v>
      </c>
      <c r="O152" t="s">
        <v>101</v>
      </c>
      <c r="P152">
        <v>0</v>
      </c>
      <c r="Q152">
        <v>0</v>
      </c>
      <c r="R152">
        <v>0</v>
      </c>
      <c r="S152">
        <v>0</v>
      </c>
      <c r="T152">
        <v>0</v>
      </c>
      <c r="U152">
        <v>0</v>
      </c>
      <c r="V152">
        <v>0</v>
      </c>
      <c r="W152">
        <v>0</v>
      </c>
      <c r="X152">
        <v>0</v>
      </c>
      <c r="Y152">
        <v>0</v>
      </c>
      <c r="Z152">
        <v>0</v>
      </c>
      <c r="AA152">
        <v>0</v>
      </c>
      <c r="AB152">
        <v>0</v>
      </c>
    </row>
    <row r="153" spans="1:28" x14ac:dyDescent="0.3">
      <c r="A153" s="1">
        <v>44077</v>
      </c>
      <c r="B153" t="s">
        <v>81</v>
      </c>
      <c r="C153">
        <v>2</v>
      </c>
      <c r="D153">
        <v>0</v>
      </c>
      <c r="E153">
        <v>0</v>
      </c>
      <c r="F153">
        <v>0</v>
      </c>
      <c r="G153">
        <v>0</v>
      </c>
      <c r="H153">
        <v>0</v>
      </c>
      <c r="I153">
        <v>0</v>
      </c>
      <c r="J153">
        <v>0</v>
      </c>
      <c r="K153">
        <v>0</v>
      </c>
      <c r="L153">
        <v>0</v>
      </c>
      <c r="M153">
        <v>1225169</v>
      </c>
      <c r="N153" t="s">
        <v>82</v>
      </c>
      <c r="O153" t="s">
        <v>83</v>
      </c>
      <c r="P153">
        <v>0</v>
      </c>
      <c r="Q153">
        <v>0</v>
      </c>
      <c r="R153">
        <v>0</v>
      </c>
      <c r="S153">
        <v>0</v>
      </c>
      <c r="T153">
        <v>0</v>
      </c>
      <c r="U153">
        <v>0</v>
      </c>
      <c r="V153">
        <v>0</v>
      </c>
      <c r="W153">
        <v>0</v>
      </c>
      <c r="X153">
        <v>0</v>
      </c>
      <c r="Y153">
        <v>0</v>
      </c>
      <c r="Z153">
        <v>0</v>
      </c>
      <c r="AA153">
        <v>0</v>
      </c>
      <c r="AB153">
        <v>0</v>
      </c>
    </row>
    <row r="154" spans="1:28" x14ac:dyDescent="0.3">
      <c r="A154" s="1">
        <v>44077</v>
      </c>
      <c r="B154" t="s">
        <v>31</v>
      </c>
      <c r="C154">
        <v>2</v>
      </c>
      <c r="D154">
        <v>0</v>
      </c>
      <c r="E154">
        <v>0</v>
      </c>
      <c r="F154">
        <v>0</v>
      </c>
      <c r="G154">
        <v>0</v>
      </c>
      <c r="H154">
        <v>0</v>
      </c>
      <c r="I154">
        <v>0</v>
      </c>
      <c r="J154">
        <v>0</v>
      </c>
      <c r="K154">
        <v>0</v>
      </c>
      <c r="L154">
        <v>0</v>
      </c>
      <c r="M154">
        <v>1663605</v>
      </c>
      <c r="N154" t="s">
        <v>32</v>
      </c>
      <c r="O154" t="s">
        <v>33</v>
      </c>
      <c r="P154">
        <v>0</v>
      </c>
      <c r="Q154">
        <v>0</v>
      </c>
      <c r="R154">
        <v>0</v>
      </c>
      <c r="S154">
        <v>0</v>
      </c>
      <c r="T154">
        <v>0</v>
      </c>
      <c r="U154">
        <v>0</v>
      </c>
      <c r="V154">
        <v>0</v>
      </c>
      <c r="W154">
        <v>0</v>
      </c>
      <c r="X154">
        <v>0</v>
      </c>
      <c r="Y154">
        <v>0</v>
      </c>
      <c r="Z154">
        <v>0</v>
      </c>
      <c r="AA154">
        <v>0</v>
      </c>
      <c r="AB154">
        <v>0</v>
      </c>
    </row>
    <row r="155" spans="1:28" x14ac:dyDescent="0.3">
      <c r="A155" s="1">
        <v>44077</v>
      </c>
      <c r="B155" t="s">
        <v>120</v>
      </c>
      <c r="C155">
        <v>1</v>
      </c>
      <c r="D155">
        <v>0</v>
      </c>
      <c r="E155">
        <v>0</v>
      </c>
      <c r="F155">
        <v>0</v>
      </c>
      <c r="G155">
        <v>0</v>
      </c>
      <c r="H155">
        <v>0</v>
      </c>
      <c r="I155">
        <v>0</v>
      </c>
      <c r="J155">
        <v>0</v>
      </c>
      <c r="K155">
        <v>0</v>
      </c>
      <c r="L155">
        <v>0</v>
      </c>
      <c r="M155">
        <v>154911</v>
      </c>
      <c r="N155" t="s">
        <v>121</v>
      </c>
      <c r="O155" t="s">
        <v>122</v>
      </c>
      <c r="P155">
        <v>0</v>
      </c>
      <c r="Q155">
        <v>0</v>
      </c>
      <c r="R155">
        <v>0</v>
      </c>
      <c r="S155">
        <v>0</v>
      </c>
      <c r="T155">
        <v>0</v>
      </c>
      <c r="U155">
        <v>0</v>
      </c>
      <c r="V155">
        <v>0</v>
      </c>
      <c r="W155">
        <v>0</v>
      </c>
      <c r="X155">
        <v>0</v>
      </c>
      <c r="Y155">
        <v>0</v>
      </c>
      <c r="Z155">
        <v>0</v>
      </c>
      <c r="AA155">
        <v>0</v>
      </c>
      <c r="AB155">
        <v>0</v>
      </c>
    </row>
    <row r="156" spans="1:28" x14ac:dyDescent="0.3">
      <c r="A156" s="1">
        <v>44077</v>
      </c>
      <c r="B156" t="s">
        <v>123</v>
      </c>
      <c r="C156">
        <v>1</v>
      </c>
      <c r="D156">
        <v>0</v>
      </c>
      <c r="E156">
        <v>0</v>
      </c>
      <c r="F156">
        <v>0</v>
      </c>
      <c r="G156">
        <v>0</v>
      </c>
      <c r="H156">
        <v>0</v>
      </c>
      <c r="I156">
        <v>0</v>
      </c>
      <c r="J156">
        <v>0</v>
      </c>
      <c r="K156">
        <v>0</v>
      </c>
      <c r="L156">
        <v>0</v>
      </c>
      <c r="M156">
        <v>213636</v>
      </c>
      <c r="N156" t="s">
        <v>124</v>
      </c>
      <c r="O156" t="s">
        <v>125</v>
      </c>
      <c r="P156">
        <v>0</v>
      </c>
      <c r="Q156">
        <v>0</v>
      </c>
      <c r="R156">
        <v>0</v>
      </c>
      <c r="S156">
        <v>0</v>
      </c>
      <c r="T156">
        <v>0</v>
      </c>
      <c r="U156">
        <v>0</v>
      </c>
      <c r="V156">
        <v>0</v>
      </c>
      <c r="W156">
        <v>0</v>
      </c>
      <c r="X156">
        <v>0</v>
      </c>
      <c r="Y156">
        <v>0</v>
      </c>
      <c r="Z156">
        <v>0</v>
      </c>
      <c r="AA156">
        <v>0</v>
      </c>
      <c r="AB156">
        <v>0</v>
      </c>
    </row>
    <row r="157" spans="1:28" x14ac:dyDescent="0.3">
      <c r="A157" s="1">
        <v>44077</v>
      </c>
      <c r="B157" t="s">
        <v>126</v>
      </c>
      <c r="C157">
        <v>1</v>
      </c>
      <c r="D157">
        <v>0</v>
      </c>
      <c r="E157">
        <v>0</v>
      </c>
      <c r="F157">
        <v>0</v>
      </c>
      <c r="G157">
        <v>0</v>
      </c>
      <c r="H157">
        <v>0</v>
      </c>
      <c r="I157">
        <v>0</v>
      </c>
      <c r="J157">
        <v>0</v>
      </c>
      <c r="K157">
        <v>0</v>
      </c>
      <c r="L157">
        <v>0</v>
      </c>
      <c r="M157">
        <v>318676</v>
      </c>
      <c r="N157" t="s">
        <v>127</v>
      </c>
      <c r="O157" t="s">
        <v>128</v>
      </c>
      <c r="P157">
        <v>0</v>
      </c>
      <c r="Q157">
        <v>0</v>
      </c>
      <c r="R157">
        <v>0</v>
      </c>
      <c r="S157">
        <v>0</v>
      </c>
      <c r="T157">
        <v>0</v>
      </c>
      <c r="U157">
        <v>0</v>
      </c>
      <c r="V157">
        <v>0</v>
      </c>
      <c r="W157">
        <v>0</v>
      </c>
      <c r="X157">
        <v>0</v>
      </c>
      <c r="Y157">
        <v>0</v>
      </c>
      <c r="Z157">
        <v>0</v>
      </c>
      <c r="AA157">
        <v>0</v>
      </c>
      <c r="AB157">
        <v>0</v>
      </c>
    </row>
    <row r="158" spans="1:28" x14ac:dyDescent="0.3">
      <c r="A158" s="1">
        <v>44077</v>
      </c>
      <c r="B158" t="s">
        <v>96</v>
      </c>
      <c r="C158">
        <v>1</v>
      </c>
      <c r="D158">
        <v>0</v>
      </c>
      <c r="E158">
        <v>0</v>
      </c>
      <c r="F158">
        <v>0</v>
      </c>
      <c r="G158">
        <v>0</v>
      </c>
      <c r="H158">
        <v>0</v>
      </c>
      <c r="I158">
        <v>0</v>
      </c>
      <c r="J158">
        <v>0</v>
      </c>
      <c r="K158">
        <v>0</v>
      </c>
      <c r="L158">
        <v>0</v>
      </c>
      <c r="M158">
        <v>1372745</v>
      </c>
      <c r="N158" t="s">
        <v>97</v>
      </c>
      <c r="O158" t="s">
        <v>98</v>
      </c>
      <c r="P158">
        <v>0</v>
      </c>
      <c r="Q158">
        <v>0</v>
      </c>
      <c r="R158">
        <v>0</v>
      </c>
      <c r="S158">
        <v>0</v>
      </c>
      <c r="T158">
        <v>0</v>
      </c>
      <c r="U158">
        <v>0</v>
      </c>
      <c r="V158">
        <v>0</v>
      </c>
      <c r="W158">
        <v>0</v>
      </c>
      <c r="X158">
        <v>0</v>
      </c>
      <c r="Y158">
        <v>0</v>
      </c>
      <c r="Z158">
        <v>0</v>
      </c>
      <c r="AA158">
        <v>0</v>
      </c>
      <c r="AB158">
        <v>0</v>
      </c>
    </row>
    <row r="159" spans="1:28" x14ac:dyDescent="0.3">
      <c r="A159" s="1">
        <v>44077</v>
      </c>
      <c r="B159" t="s">
        <v>135</v>
      </c>
      <c r="C159">
        <v>1</v>
      </c>
      <c r="D159">
        <v>0</v>
      </c>
      <c r="E159">
        <v>0</v>
      </c>
      <c r="F159">
        <v>0</v>
      </c>
      <c r="G159">
        <v>0</v>
      </c>
      <c r="H159">
        <v>0</v>
      </c>
      <c r="I159">
        <v>0</v>
      </c>
      <c r="J159">
        <v>0</v>
      </c>
      <c r="K159">
        <v>0</v>
      </c>
      <c r="L159">
        <v>0</v>
      </c>
      <c r="M159">
        <v>1538097</v>
      </c>
      <c r="N159" t="s">
        <v>136</v>
      </c>
      <c r="O159" t="s">
        <v>137</v>
      </c>
      <c r="P159">
        <v>0</v>
      </c>
      <c r="Q159">
        <v>0</v>
      </c>
      <c r="R159">
        <v>0</v>
      </c>
      <c r="S159">
        <v>0</v>
      </c>
      <c r="T159">
        <v>0</v>
      </c>
      <c r="U159">
        <v>0</v>
      </c>
      <c r="V159">
        <v>0</v>
      </c>
      <c r="W159">
        <v>0</v>
      </c>
      <c r="X159">
        <v>0</v>
      </c>
      <c r="Y159">
        <v>0</v>
      </c>
      <c r="Z159">
        <v>0</v>
      </c>
      <c r="AA159">
        <v>0</v>
      </c>
      <c r="AB159">
        <v>0</v>
      </c>
    </row>
    <row r="160" spans="1:28" x14ac:dyDescent="0.3">
      <c r="A160" s="1">
        <v>44077</v>
      </c>
      <c r="B160" t="s">
        <v>264</v>
      </c>
      <c r="C160">
        <v>1</v>
      </c>
      <c r="D160">
        <v>0</v>
      </c>
      <c r="E160">
        <v>0</v>
      </c>
      <c r="F160">
        <v>0</v>
      </c>
      <c r="G160">
        <v>0</v>
      </c>
      <c r="H160">
        <v>0</v>
      </c>
      <c r="I160">
        <v>0</v>
      </c>
      <c r="J160">
        <v>0</v>
      </c>
      <c r="K160">
        <v>0</v>
      </c>
      <c r="L160">
        <v>0</v>
      </c>
      <c r="M160">
        <v>1562307</v>
      </c>
      <c r="N160" t="s">
        <v>265</v>
      </c>
      <c r="O160" t="s">
        <v>266</v>
      </c>
      <c r="P160">
        <v>0</v>
      </c>
      <c r="Q160">
        <v>0</v>
      </c>
      <c r="R160">
        <v>0</v>
      </c>
      <c r="S160">
        <v>0</v>
      </c>
      <c r="T160">
        <v>0</v>
      </c>
      <c r="U160">
        <v>0</v>
      </c>
      <c r="V160">
        <v>0</v>
      </c>
      <c r="W160">
        <v>0</v>
      </c>
      <c r="X160">
        <v>0</v>
      </c>
      <c r="Y160">
        <v>0</v>
      </c>
      <c r="Z160">
        <v>0</v>
      </c>
      <c r="AA160">
        <v>0</v>
      </c>
      <c r="AB160">
        <v>0</v>
      </c>
    </row>
    <row r="161" spans="1:28" x14ac:dyDescent="0.3">
      <c r="A161" s="1">
        <v>44077</v>
      </c>
      <c r="B161" t="s">
        <v>267</v>
      </c>
      <c r="C161">
        <v>1</v>
      </c>
      <c r="D161">
        <v>0</v>
      </c>
      <c r="E161">
        <v>0</v>
      </c>
      <c r="F161">
        <v>0</v>
      </c>
      <c r="G161">
        <v>0</v>
      </c>
      <c r="H161">
        <v>0</v>
      </c>
      <c r="I161">
        <v>0</v>
      </c>
      <c r="J161">
        <v>0</v>
      </c>
      <c r="K161">
        <v>0</v>
      </c>
      <c r="L161">
        <v>0</v>
      </c>
      <c r="M161">
        <v>1657151</v>
      </c>
      <c r="N161" t="s">
        <v>268</v>
      </c>
      <c r="O161" t="s">
        <v>269</v>
      </c>
      <c r="P161">
        <v>0</v>
      </c>
      <c r="Q161">
        <v>0</v>
      </c>
      <c r="R161">
        <v>0</v>
      </c>
      <c r="S161">
        <v>0</v>
      </c>
      <c r="T161">
        <v>0</v>
      </c>
      <c r="U161">
        <v>0</v>
      </c>
      <c r="V161">
        <v>0</v>
      </c>
      <c r="W161">
        <v>0</v>
      </c>
      <c r="X161">
        <v>0</v>
      </c>
      <c r="Y161">
        <v>0</v>
      </c>
      <c r="Z161">
        <v>0</v>
      </c>
      <c r="AA161">
        <v>0</v>
      </c>
      <c r="AB161">
        <v>0</v>
      </c>
    </row>
    <row r="162" spans="1:28" x14ac:dyDescent="0.3">
      <c r="A162" s="1">
        <v>44077</v>
      </c>
      <c r="B162" t="s">
        <v>177</v>
      </c>
      <c r="C162">
        <v>1</v>
      </c>
      <c r="D162">
        <v>0</v>
      </c>
      <c r="E162">
        <v>0</v>
      </c>
      <c r="F162">
        <v>0</v>
      </c>
      <c r="G162">
        <v>0</v>
      </c>
      <c r="H162">
        <v>0</v>
      </c>
      <c r="I162">
        <v>0</v>
      </c>
      <c r="J162">
        <v>0</v>
      </c>
      <c r="K162">
        <v>0</v>
      </c>
      <c r="L162">
        <v>0</v>
      </c>
      <c r="M162">
        <v>1869309</v>
      </c>
      <c r="N162" t="s">
        <v>178</v>
      </c>
      <c r="O162" t="s">
        <v>179</v>
      </c>
      <c r="P162">
        <v>0</v>
      </c>
      <c r="Q162">
        <v>0</v>
      </c>
      <c r="R162">
        <v>0</v>
      </c>
      <c r="S162">
        <v>0</v>
      </c>
      <c r="T162">
        <v>0</v>
      </c>
      <c r="U162">
        <v>0</v>
      </c>
      <c r="V162">
        <v>0</v>
      </c>
      <c r="W162">
        <v>0</v>
      </c>
      <c r="X162">
        <v>0</v>
      </c>
      <c r="Y162">
        <v>0</v>
      </c>
      <c r="Z162">
        <v>0</v>
      </c>
      <c r="AA162">
        <v>0</v>
      </c>
      <c r="AB162">
        <v>0</v>
      </c>
    </row>
    <row r="163" spans="1:28" x14ac:dyDescent="0.3">
      <c r="A163" s="1">
        <v>44077</v>
      </c>
      <c r="B163" t="s">
        <v>159</v>
      </c>
      <c r="C163">
        <v>1</v>
      </c>
      <c r="D163">
        <v>0</v>
      </c>
      <c r="E163">
        <v>0</v>
      </c>
      <c r="F163">
        <v>0</v>
      </c>
      <c r="G163">
        <v>0</v>
      </c>
      <c r="H163">
        <v>0</v>
      </c>
      <c r="I163">
        <v>0</v>
      </c>
      <c r="J163">
        <v>0</v>
      </c>
      <c r="K163">
        <v>0</v>
      </c>
      <c r="L163">
        <v>0</v>
      </c>
      <c r="M163">
        <v>2029250</v>
      </c>
      <c r="N163" t="s">
        <v>160</v>
      </c>
      <c r="O163" t="s">
        <v>161</v>
      </c>
      <c r="P163">
        <v>0</v>
      </c>
      <c r="Q163">
        <v>0</v>
      </c>
      <c r="R163">
        <v>0</v>
      </c>
      <c r="S163">
        <v>0</v>
      </c>
      <c r="T163">
        <v>0</v>
      </c>
      <c r="U163">
        <v>0</v>
      </c>
      <c r="V163">
        <v>0</v>
      </c>
      <c r="W163">
        <v>0</v>
      </c>
      <c r="X163">
        <v>0</v>
      </c>
      <c r="Y163">
        <v>0</v>
      </c>
      <c r="Z163">
        <v>0</v>
      </c>
      <c r="AA163">
        <v>0</v>
      </c>
      <c r="AB163">
        <v>0</v>
      </c>
    </row>
    <row r="164" spans="1:28" x14ac:dyDescent="0.3">
      <c r="A164" s="1">
        <v>44077</v>
      </c>
      <c r="B164" t="s">
        <v>147</v>
      </c>
      <c r="C164">
        <v>1</v>
      </c>
      <c r="D164">
        <v>0</v>
      </c>
      <c r="E164">
        <v>0</v>
      </c>
      <c r="F164">
        <v>0</v>
      </c>
      <c r="G164">
        <v>0</v>
      </c>
      <c r="H164">
        <v>0</v>
      </c>
      <c r="I164">
        <v>0</v>
      </c>
      <c r="J164">
        <v>0</v>
      </c>
      <c r="K164">
        <v>0</v>
      </c>
      <c r="L164">
        <v>0</v>
      </c>
      <c r="M164">
        <v>2075116</v>
      </c>
      <c r="N164" t="s">
        <v>148</v>
      </c>
      <c r="O164" t="s">
        <v>149</v>
      </c>
      <c r="P164">
        <v>0</v>
      </c>
      <c r="Q164">
        <v>0</v>
      </c>
      <c r="R164">
        <v>0</v>
      </c>
      <c r="S164">
        <v>0</v>
      </c>
      <c r="T164">
        <v>0</v>
      </c>
      <c r="U164">
        <v>0</v>
      </c>
      <c r="V164">
        <v>0</v>
      </c>
      <c r="W164">
        <v>0</v>
      </c>
      <c r="X164">
        <v>0</v>
      </c>
      <c r="Y164">
        <v>0</v>
      </c>
      <c r="Z164">
        <v>0</v>
      </c>
      <c r="AA164">
        <v>0</v>
      </c>
      <c r="AB164">
        <v>0</v>
      </c>
    </row>
    <row r="165" spans="1:28" x14ac:dyDescent="0.3">
      <c r="A165" s="1">
        <v>44077</v>
      </c>
      <c r="B165" t="s">
        <v>117</v>
      </c>
      <c r="C165">
        <v>1</v>
      </c>
      <c r="D165">
        <v>0</v>
      </c>
      <c r="E165">
        <v>0</v>
      </c>
      <c r="F165">
        <v>0</v>
      </c>
      <c r="G165">
        <v>0</v>
      </c>
      <c r="H165">
        <v>0</v>
      </c>
      <c r="I165">
        <v>0</v>
      </c>
      <c r="J165">
        <v>0</v>
      </c>
      <c r="K165">
        <v>0</v>
      </c>
      <c r="L165">
        <v>0</v>
      </c>
      <c r="M165">
        <v>2316883</v>
      </c>
      <c r="N165" t="s">
        <v>118</v>
      </c>
      <c r="O165" t="s">
        <v>119</v>
      </c>
      <c r="P165">
        <v>0</v>
      </c>
      <c r="Q165">
        <v>0</v>
      </c>
      <c r="R165">
        <v>0</v>
      </c>
      <c r="S165">
        <v>0</v>
      </c>
      <c r="T165">
        <v>0</v>
      </c>
      <c r="U165">
        <v>0</v>
      </c>
      <c r="V165">
        <v>0</v>
      </c>
      <c r="W165">
        <v>0</v>
      </c>
      <c r="X165">
        <v>0</v>
      </c>
      <c r="Y165">
        <v>0</v>
      </c>
      <c r="Z165">
        <v>0</v>
      </c>
      <c r="AA165">
        <v>0</v>
      </c>
      <c r="AB165">
        <v>0</v>
      </c>
    </row>
    <row r="166" spans="1:28" x14ac:dyDescent="0.3">
      <c r="A166" s="1">
        <v>44078</v>
      </c>
      <c r="B166" t="s">
        <v>28</v>
      </c>
      <c r="C166">
        <v>96</v>
      </c>
      <c r="D166">
        <v>533</v>
      </c>
      <c r="E166">
        <v>0</v>
      </c>
      <c r="F166">
        <v>533</v>
      </c>
      <c r="G166">
        <v>3</v>
      </c>
      <c r="H166">
        <v>0</v>
      </c>
      <c r="I166">
        <v>79.95</v>
      </c>
      <c r="J166">
        <v>3.13</v>
      </c>
      <c r="K166">
        <v>83.28</v>
      </c>
      <c r="L166">
        <v>177.67</v>
      </c>
      <c r="M166">
        <v>314743</v>
      </c>
      <c r="N166" t="s">
        <v>29</v>
      </c>
      <c r="O166" t="s">
        <v>30</v>
      </c>
      <c r="P166">
        <v>3</v>
      </c>
      <c r="Q166">
        <v>0</v>
      </c>
      <c r="R166">
        <v>0</v>
      </c>
      <c r="S166">
        <v>0</v>
      </c>
      <c r="T166">
        <v>0</v>
      </c>
      <c r="U166">
        <v>0</v>
      </c>
      <c r="V166">
        <v>79.95</v>
      </c>
      <c r="W166">
        <v>0</v>
      </c>
      <c r="X166">
        <v>0</v>
      </c>
      <c r="Y166">
        <v>0</v>
      </c>
      <c r="Z166">
        <v>0</v>
      </c>
      <c r="AA166">
        <v>0</v>
      </c>
      <c r="AB166">
        <v>15.99</v>
      </c>
    </row>
    <row r="167" spans="1:28" x14ac:dyDescent="0.3">
      <c r="A167" s="1">
        <v>44078</v>
      </c>
      <c r="B167" t="s">
        <v>123</v>
      </c>
      <c r="C167">
        <v>3</v>
      </c>
      <c r="D167">
        <v>199.2</v>
      </c>
      <c r="E167">
        <v>0</v>
      </c>
      <c r="F167">
        <v>199.2</v>
      </c>
      <c r="G167">
        <v>1</v>
      </c>
      <c r="H167">
        <v>0</v>
      </c>
      <c r="I167">
        <v>5.98</v>
      </c>
      <c r="J167">
        <v>33.33</v>
      </c>
      <c r="K167">
        <v>199.33</v>
      </c>
      <c r="L167">
        <v>199.2</v>
      </c>
      <c r="M167">
        <v>213636</v>
      </c>
      <c r="N167" t="s">
        <v>124</v>
      </c>
      <c r="O167" t="s">
        <v>125</v>
      </c>
      <c r="P167">
        <v>1</v>
      </c>
      <c r="Q167">
        <v>0</v>
      </c>
      <c r="R167">
        <v>0</v>
      </c>
      <c r="S167">
        <v>0</v>
      </c>
      <c r="T167">
        <v>0</v>
      </c>
      <c r="U167">
        <v>0</v>
      </c>
      <c r="V167">
        <v>5.98</v>
      </c>
      <c r="W167">
        <v>0</v>
      </c>
      <c r="X167">
        <v>0</v>
      </c>
      <c r="Y167">
        <v>0</v>
      </c>
      <c r="Z167">
        <v>0</v>
      </c>
      <c r="AA167">
        <v>0</v>
      </c>
      <c r="AB167">
        <v>1.2</v>
      </c>
    </row>
    <row r="168" spans="1:28" x14ac:dyDescent="0.3">
      <c r="A168" s="1">
        <v>44078</v>
      </c>
      <c r="B168" t="s">
        <v>49</v>
      </c>
      <c r="C168">
        <v>55</v>
      </c>
      <c r="D168">
        <v>159.19999999999999</v>
      </c>
      <c r="E168">
        <v>0</v>
      </c>
      <c r="F168">
        <v>159.19999999999999</v>
      </c>
      <c r="G168">
        <v>1</v>
      </c>
      <c r="H168">
        <v>0</v>
      </c>
      <c r="I168">
        <v>4.78</v>
      </c>
      <c r="J168">
        <v>1.82</v>
      </c>
      <c r="K168">
        <v>8.69</v>
      </c>
      <c r="L168">
        <v>159.19999999999999</v>
      </c>
      <c r="M168">
        <v>725033</v>
      </c>
      <c r="N168" t="s">
        <v>50</v>
      </c>
      <c r="O168" t="s">
        <v>51</v>
      </c>
      <c r="P168">
        <v>1</v>
      </c>
      <c r="Q168">
        <v>0</v>
      </c>
      <c r="R168">
        <v>0</v>
      </c>
      <c r="S168">
        <v>0</v>
      </c>
      <c r="T168">
        <v>0</v>
      </c>
      <c r="U168">
        <v>0</v>
      </c>
      <c r="V168">
        <v>4.78</v>
      </c>
      <c r="W168">
        <v>0</v>
      </c>
      <c r="X168">
        <v>0</v>
      </c>
      <c r="Y168">
        <v>0</v>
      </c>
      <c r="Z168">
        <v>0</v>
      </c>
      <c r="AA168">
        <v>0</v>
      </c>
      <c r="AB168">
        <v>0.96</v>
      </c>
    </row>
    <row r="169" spans="1:28" x14ac:dyDescent="0.3">
      <c r="A169" s="1">
        <v>44078</v>
      </c>
      <c r="B169" t="s">
        <v>46</v>
      </c>
      <c r="C169">
        <v>12</v>
      </c>
      <c r="D169">
        <v>132.30000000000001</v>
      </c>
      <c r="E169">
        <v>0</v>
      </c>
      <c r="F169">
        <v>132.30000000000001</v>
      </c>
      <c r="G169">
        <v>1</v>
      </c>
      <c r="H169">
        <v>0</v>
      </c>
      <c r="I169">
        <v>3.97</v>
      </c>
      <c r="J169">
        <v>8.33</v>
      </c>
      <c r="K169">
        <v>33.08</v>
      </c>
      <c r="L169">
        <v>132.30000000000001</v>
      </c>
      <c r="M169">
        <v>445875</v>
      </c>
      <c r="N169" t="s">
        <v>47</v>
      </c>
      <c r="O169" t="s">
        <v>48</v>
      </c>
      <c r="P169">
        <v>1</v>
      </c>
      <c r="Q169">
        <v>0</v>
      </c>
      <c r="R169">
        <v>0</v>
      </c>
      <c r="S169">
        <v>0</v>
      </c>
      <c r="T169">
        <v>0</v>
      </c>
      <c r="U169">
        <v>0</v>
      </c>
      <c r="V169">
        <v>3.97</v>
      </c>
      <c r="W169">
        <v>0</v>
      </c>
      <c r="X169">
        <v>0</v>
      </c>
      <c r="Y169">
        <v>0</v>
      </c>
      <c r="Z169">
        <v>0</v>
      </c>
      <c r="AA169">
        <v>0</v>
      </c>
      <c r="AB169">
        <v>0.79</v>
      </c>
    </row>
    <row r="170" spans="1:28" x14ac:dyDescent="0.3">
      <c r="A170" s="1">
        <v>44078</v>
      </c>
      <c r="B170" t="s">
        <v>43</v>
      </c>
      <c r="C170">
        <v>47</v>
      </c>
      <c r="D170">
        <v>0</v>
      </c>
      <c r="E170">
        <v>0</v>
      </c>
      <c r="F170">
        <v>0</v>
      </c>
      <c r="G170">
        <v>0</v>
      </c>
      <c r="H170">
        <v>0</v>
      </c>
      <c r="I170">
        <v>0</v>
      </c>
      <c r="J170">
        <v>0</v>
      </c>
      <c r="K170">
        <v>0</v>
      </c>
      <c r="L170">
        <v>0</v>
      </c>
      <c r="M170">
        <v>389818</v>
      </c>
      <c r="N170" t="s">
        <v>44</v>
      </c>
      <c r="O170" t="s">
        <v>45</v>
      </c>
      <c r="P170">
        <v>0</v>
      </c>
      <c r="Q170">
        <v>0</v>
      </c>
      <c r="R170">
        <v>0</v>
      </c>
      <c r="S170">
        <v>0</v>
      </c>
      <c r="T170">
        <v>0</v>
      </c>
      <c r="U170">
        <v>0</v>
      </c>
      <c r="V170">
        <v>0</v>
      </c>
      <c r="W170">
        <v>0</v>
      </c>
      <c r="X170">
        <v>0</v>
      </c>
      <c r="Y170">
        <v>0</v>
      </c>
      <c r="Z170">
        <v>0</v>
      </c>
      <c r="AA170">
        <v>0</v>
      </c>
      <c r="AB170">
        <v>0</v>
      </c>
    </row>
    <row r="171" spans="1:28" x14ac:dyDescent="0.3">
      <c r="A171" s="1">
        <v>44078</v>
      </c>
      <c r="B171" t="s">
        <v>40</v>
      </c>
      <c r="C171">
        <v>45</v>
      </c>
      <c r="D171">
        <v>0</v>
      </c>
      <c r="E171">
        <v>0</v>
      </c>
      <c r="F171">
        <v>0</v>
      </c>
      <c r="G171">
        <v>0</v>
      </c>
      <c r="H171">
        <v>0</v>
      </c>
      <c r="I171">
        <v>0</v>
      </c>
      <c r="J171">
        <v>0</v>
      </c>
      <c r="K171">
        <v>0</v>
      </c>
      <c r="L171">
        <v>0</v>
      </c>
      <c r="M171">
        <v>1088116</v>
      </c>
      <c r="N171" t="s">
        <v>41</v>
      </c>
      <c r="O171" t="s">
        <v>42</v>
      </c>
      <c r="P171">
        <v>0</v>
      </c>
      <c r="Q171">
        <v>0</v>
      </c>
      <c r="R171">
        <v>0</v>
      </c>
      <c r="S171">
        <v>0</v>
      </c>
      <c r="T171">
        <v>0</v>
      </c>
      <c r="U171">
        <v>0</v>
      </c>
      <c r="V171">
        <v>0</v>
      </c>
      <c r="W171">
        <v>0</v>
      </c>
      <c r="X171">
        <v>0</v>
      </c>
      <c r="Y171">
        <v>0</v>
      </c>
      <c r="Z171">
        <v>0</v>
      </c>
      <c r="AA171">
        <v>0</v>
      </c>
      <c r="AB171">
        <v>0</v>
      </c>
    </row>
    <row r="172" spans="1:28" x14ac:dyDescent="0.3">
      <c r="A172" s="1">
        <v>44078</v>
      </c>
      <c r="B172" t="s">
        <v>52</v>
      </c>
      <c r="C172">
        <v>29</v>
      </c>
      <c r="D172">
        <v>0</v>
      </c>
      <c r="E172">
        <v>0</v>
      </c>
      <c r="F172">
        <v>0</v>
      </c>
      <c r="G172">
        <v>0</v>
      </c>
      <c r="H172">
        <v>0</v>
      </c>
      <c r="I172">
        <v>0</v>
      </c>
      <c r="J172">
        <v>0</v>
      </c>
      <c r="K172">
        <v>0</v>
      </c>
      <c r="L172">
        <v>0</v>
      </c>
      <c r="M172">
        <v>1584217</v>
      </c>
      <c r="N172" t="s">
        <v>53</v>
      </c>
      <c r="O172" t="s">
        <v>54</v>
      </c>
      <c r="P172">
        <v>0</v>
      </c>
      <c r="Q172">
        <v>0</v>
      </c>
      <c r="R172">
        <v>0</v>
      </c>
      <c r="S172">
        <v>0</v>
      </c>
      <c r="T172">
        <v>0</v>
      </c>
      <c r="U172">
        <v>0</v>
      </c>
      <c r="V172">
        <v>0</v>
      </c>
      <c r="W172">
        <v>0</v>
      </c>
      <c r="X172">
        <v>0</v>
      </c>
      <c r="Y172">
        <v>0</v>
      </c>
      <c r="Z172">
        <v>0</v>
      </c>
      <c r="AA172">
        <v>0</v>
      </c>
      <c r="AB172">
        <v>0</v>
      </c>
    </row>
    <row r="173" spans="1:28" x14ac:dyDescent="0.3">
      <c r="A173" s="1">
        <v>44078</v>
      </c>
      <c r="B173" t="s">
        <v>34</v>
      </c>
      <c r="C173">
        <v>27</v>
      </c>
      <c r="D173">
        <v>0</v>
      </c>
      <c r="E173">
        <v>0</v>
      </c>
      <c r="F173">
        <v>0</v>
      </c>
      <c r="G173">
        <v>0</v>
      </c>
      <c r="H173">
        <v>0</v>
      </c>
      <c r="I173">
        <v>0</v>
      </c>
      <c r="J173">
        <v>0</v>
      </c>
      <c r="K173">
        <v>0</v>
      </c>
      <c r="L173">
        <v>0</v>
      </c>
      <c r="M173">
        <v>2284878</v>
      </c>
      <c r="N173" t="s">
        <v>35</v>
      </c>
      <c r="O173" t="s">
        <v>36</v>
      </c>
      <c r="P173">
        <v>0</v>
      </c>
      <c r="Q173">
        <v>0</v>
      </c>
      <c r="R173">
        <v>0</v>
      </c>
      <c r="S173">
        <v>0</v>
      </c>
      <c r="T173">
        <v>0</v>
      </c>
      <c r="U173">
        <v>0</v>
      </c>
      <c r="V173">
        <v>0</v>
      </c>
      <c r="W173">
        <v>0</v>
      </c>
      <c r="X173">
        <v>0</v>
      </c>
      <c r="Y173">
        <v>0</v>
      </c>
      <c r="Z173">
        <v>0</v>
      </c>
      <c r="AA173">
        <v>0</v>
      </c>
      <c r="AB173">
        <v>0</v>
      </c>
    </row>
    <row r="174" spans="1:28" x14ac:dyDescent="0.3">
      <c r="A174" s="1">
        <v>44078</v>
      </c>
      <c r="B174" t="s">
        <v>55</v>
      </c>
      <c r="C174">
        <v>18</v>
      </c>
      <c r="D174">
        <v>0</v>
      </c>
      <c r="E174">
        <v>0</v>
      </c>
      <c r="F174">
        <v>0</v>
      </c>
      <c r="G174">
        <v>0</v>
      </c>
      <c r="H174">
        <v>0</v>
      </c>
      <c r="I174">
        <v>0</v>
      </c>
      <c r="J174">
        <v>0</v>
      </c>
      <c r="K174">
        <v>0</v>
      </c>
      <c r="L174">
        <v>0</v>
      </c>
      <c r="M174">
        <v>1773960</v>
      </c>
      <c r="N174" t="s">
        <v>35</v>
      </c>
      <c r="O174" t="s">
        <v>56</v>
      </c>
      <c r="P174">
        <v>0</v>
      </c>
      <c r="Q174">
        <v>0</v>
      </c>
      <c r="R174">
        <v>0</v>
      </c>
      <c r="S174">
        <v>0</v>
      </c>
      <c r="T174">
        <v>0</v>
      </c>
      <c r="U174">
        <v>0</v>
      </c>
      <c r="V174">
        <v>0</v>
      </c>
      <c r="W174">
        <v>0</v>
      </c>
      <c r="X174">
        <v>0</v>
      </c>
      <c r="Y174">
        <v>0</v>
      </c>
      <c r="Z174">
        <v>0</v>
      </c>
      <c r="AA174">
        <v>0</v>
      </c>
      <c r="AB174">
        <v>0</v>
      </c>
    </row>
    <row r="175" spans="1:28" x14ac:dyDescent="0.3">
      <c r="A175" s="1">
        <v>44078</v>
      </c>
      <c r="B175" t="s">
        <v>37</v>
      </c>
      <c r="C175">
        <v>10</v>
      </c>
      <c r="D175">
        <v>0</v>
      </c>
      <c r="E175">
        <v>0</v>
      </c>
      <c r="F175">
        <v>0</v>
      </c>
      <c r="G175">
        <v>0</v>
      </c>
      <c r="H175">
        <v>0</v>
      </c>
      <c r="I175">
        <v>0</v>
      </c>
      <c r="J175">
        <v>0</v>
      </c>
      <c r="K175">
        <v>0</v>
      </c>
      <c r="L175">
        <v>0</v>
      </c>
      <c r="M175">
        <v>201285</v>
      </c>
      <c r="N175" t="s">
        <v>38</v>
      </c>
      <c r="O175" t="s">
        <v>39</v>
      </c>
      <c r="P175">
        <v>0</v>
      </c>
      <c r="Q175">
        <v>0</v>
      </c>
      <c r="R175">
        <v>0</v>
      </c>
      <c r="S175">
        <v>0</v>
      </c>
      <c r="T175">
        <v>0</v>
      </c>
      <c r="U175">
        <v>0</v>
      </c>
      <c r="V175">
        <v>0</v>
      </c>
      <c r="W175">
        <v>0</v>
      </c>
      <c r="X175">
        <v>0</v>
      </c>
      <c r="Y175">
        <v>0</v>
      </c>
      <c r="Z175">
        <v>0</v>
      </c>
      <c r="AA175">
        <v>0</v>
      </c>
      <c r="AB175">
        <v>0</v>
      </c>
    </row>
    <row r="176" spans="1:28" x14ac:dyDescent="0.3">
      <c r="A176" s="1">
        <v>44078</v>
      </c>
      <c r="B176" t="s">
        <v>78</v>
      </c>
      <c r="C176">
        <v>9</v>
      </c>
      <c r="D176">
        <v>0</v>
      </c>
      <c r="E176">
        <v>0</v>
      </c>
      <c r="F176">
        <v>0</v>
      </c>
      <c r="G176">
        <v>0</v>
      </c>
      <c r="H176">
        <v>0</v>
      </c>
      <c r="I176">
        <v>0</v>
      </c>
      <c r="J176">
        <v>0</v>
      </c>
      <c r="K176">
        <v>0</v>
      </c>
      <c r="L176">
        <v>0</v>
      </c>
      <c r="M176">
        <v>1014069</v>
      </c>
      <c r="N176" t="s">
        <v>79</v>
      </c>
      <c r="O176" t="s">
        <v>80</v>
      </c>
      <c r="P176">
        <v>0</v>
      </c>
      <c r="Q176">
        <v>0</v>
      </c>
      <c r="R176">
        <v>0</v>
      </c>
      <c r="S176">
        <v>0</v>
      </c>
      <c r="T176">
        <v>0</v>
      </c>
      <c r="U176">
        <v>0</v>
      </c>
      <c r="V176">
        <v>0</v>
      </c>
      <c r="W176">
        <v>0</v>
      </c>
      <c r="X176">
        <v>0</v>
      </c>
      <c r="Y176">
        <v>0</v>
      </c>
      <c r="Z176">
        <v>0</v>
      </c>
      <c r="AA176">
        <v>0</v>
      </c>
      <c r="AB176">
        <v>0</v>
      </c>
    </row>
    <row r="177" spans="1:28" x14ac:dyDescent="0.3">
      <c r="A177" s="1">
        <v>44078</v>
      </c>
      <c r="B177" t="s">
        <v>63</v>
      </c>
      <c r="C177">
        <v>8</v>
      </c>
      <c r="D177">
        <v>0</v>
      </c>
      <c r="E177">
        <v>0</v>
      </c>
      <c r="F177">
        <v>0</v>
      </c>
      <c r="G177">
        <v>0</v>
      </c>
      <c r="H177">
        <v>0</v>
      </c>
      <c r="I177">
        <v>0</v>
      </c>
      <c r="J177">
        <v>0</v>
      </c>
      <c r="K177">
        <v>0</v>
      </c>
      <c r="L177">
        <v>0</v>
      </c>
      <c r="M177">
        <v>140995</v>
      </c>
      <c r="N177" t="s">
        <v>64</v>
      </c>
      <c r="O177" t="s">
        <v>65</v>
      </c>
      <c r="P177">
        <v>0</v>
      </c>
      <c r="Q177">
        <v>0</v>
      </c>
      <c r="R177">
        <v>0</v>
      </c>
      <c r="S177">
        <v>0</v>
      </c>
      <c r="T177">
        <v>0</v>
      </c>
      <c r="U177">
        <v>0</v>
      </c>
      <c r="V177">
        <v>0</v>
      </c>
      <c r="W177">
        <v>0</v>
      </c>
      <c r="X177">
        <v>0</v>
      </c>
      <c r="Y177">
        <v>0</v>
      </c>
      <c r="Z177">
        <v>0</v>
      </c>
      <c r="AA177">
        <v>0</v>
      </c>
      <c r="AB177">
        <v>0</v>
      </c>
    </row>
    <row r="178" spans="1:28" x14ac:dyDescent="0.3">
      <c r="A178" s="1">
        <v>44078</v>
      </c>
      <c r="B178" t="s">
        <v>57</v>
      </c>
      <c r="C178">
        <v>8</v>
      </c>
      <c r="D178">
        <v>0</v>
      </c>
      <c r="E178">
        <v>0</v>
      </c>
      <c r="F178">
        <v>0</v>
      </c>
      <c r="G178">
        <v>0</v>
      </c>
      <c r="H178">
        <v>0</v>
      </c>
      <c r="I178">
        <v>0</v>
      </c>
      <c r="J178">
        <v>0</v>
      </c>
      <c r="K178">
        <v>0</v>
      </c>
      <c r="L178">
        <v>0</v>
      </c>
      <c r="M178">
        <v>2053730</v>
      </c>
      <c r="N178" t="s">
        <v>58</v>
      </c>
      <c r="O178" t="s">
        <v>59</v>
      </c>
      <c r="P178">
        <v>0</v>
      </c>
      <c r="Q178">
        <v>0</v>
      </c>
      <c r="R178">
        <v>0</v>
      </c>
      <c r="S178">
        <v>0</v>
      </c>
      <c r="T178">
        <v>0</v>
      </c>
      <c r="U178">
        <v>0</v>
      </c>
      <c r="V178">
        <v>0</v>
      </c>
      <c r="W178">
        <v>0</v>
      </c>
      <c r="X178">
        <v>0</v>
      </c>
      <c r="Y178">
        <v>0</v>
      </c>
      <c r="Z178">
        <v>0</v>
      </c>
      <c r="AA178">
        <v>0</v>
      </c>
      <c r="AB178">
        <v>0</v>
      </c>
    </row>
    <row r="179" spans="1:28" x14ac:dyDescent="0.3">
      <c r="A179" s="1">
        <v>44078</v>
      </c>
      <c r="B179" t="s">
        <v>234</v>
      </c>
      <c r="C179">
        <v>8</v>
      </c>
      <c r="D179">
        <v>0</v>
      </c>
      <c r="E179">
        <v>0</v>
      </c>
      <c r="F179">
        <v>0</v>
      </c>
      <c r="G179">
        <v>0</v>
      </c>
      <c r="H179">
        <v>0</v>
      </c>
      <c r="I179">
        <v>0</v>
      </c>
      <c r="J179">
        <v>0</v>
      </c>
      <c r="K179">
        <v>0</v>
      </c>
      <c r="L179">
        <v>0</v>
      </c>
      <c r="M179">
        <v>2243506</v>
      </c>
      <c r="N179" t="s">
        <v>235</v>
      </c>
      <c r="O179" t="s">
        <v>236</v>
      </c>
      <c r="P179">
        <v>0</v>
      </c>
      <c r="Q179">
        <v>0</v>
      </c>
      <c r="R179">
        <v>0</v>
      </c>
      <c r="S179">
        <v>0</v>
      </c>
      <c r="T179">
        <v>0</v>
      </c>
      <c r="U179">
        <v>0</v>
      </c>
      <c r="V179">
        <v>0</v>
      </c>
      <c r="W179">
        <v>0</v>
      </c>
      <c r="X179">
        <v>0</v>
      </c>
      <c r="Y179">
        <v>0</v>
      </c>
      <c r="Z179">
        <v>0</v>
      </c>
      <c r="AA179">
        <v>0</v>
      </c>
      <c r="AB179">
        <v>0</v>
      </c>
    </row>
    <row r="180" spans="1:28" x14ac:dyDescent="0.3">
      <c r="A180" s="1">
        <v>44078</v>
      </c>
      <c r="B180" t="s">
        <v>93</v>
      </c>
      <c r="C180">
        <v>4</v>
      </c>
      <c r="D180">
        <v>0</v>
      </c>
      <c r="E180">
        <v>0</v>
      </c>
      <c r="F180">
        <v>0</v>
      </c>
      <c r="G180">
        <v>0</v>
      </c>
      <c r="H180">
        <v>0</v>
      </c>
      <c r="I180">
        <v>0</v>
      </c>
      <c r="J180">
        <v>0</v>
      </c>
      <c r="K180">
        <v>0</v>
      </c>
      <c r="L180">
        <v>0</v>
      </c>
      <c r="M180">
        <v>1238556</v>
      </c>
      <c r="N180" t="s">
        <v>94</v>
      </c>
      <c r="O180" t="s">
        <v>95</v>
      </c>
      <c r="P180">
        <v>0</v>
      </c>
      <c r="Q180">
        <v>0</v>
      </c>
      <c r="R180">
        <v>0</v>
      </c>
      <c r="S180">
        <v>0</v>
      </c>
      <c r="T180">
        <v>0</v>
      </c>
      <c r="U180">
        <v>0</v>
      </c>
      <c r="V180">
        <v>0</v>
      </c>
      <c r="W180">
        <v>0</v>
      </c>
      <c r="X180">
        <v>0</v>
      </c>
      <c r="Y180">
        <v>0</v>
      </c>
      <c r="Z180">
        <v>0</v>
      </c>
      <c r="AA180">
        <v>0</v>
      </c>
      <c r="AB180">
        <v>0</v>
      </c>
    </row>
    <row r="181" spans="1:28" x14ac:dyDescent="0.3">
      <c r="A181" s="1">
        <v>44078</v>
      </c>
      <c r="B181" t="s">
        <v>66</v>
      </c>
      <c r="C181">
        <v>4</v>
      </c>
      <c r="D181">
        <v>0</v>
      </c>
      <c r="E181">
        <v>0</v>
      </c>
      <c r="F181">
        <v>0</v>
      </c>
      <c r="G181">
        <v>0</v>
      </c>
      <c r="H181">
        <v>0</v>
      </c>
      <c r="I181">
        <v>0</v>
      </c>
      <c r="J181">
        <v>0</v>
      </c>
      <c r="K181">
        <v>0</v>
      </c>
      <c r="L181">
        <v>0</v>
      </c>
      <c r="M181">
        <v>1413766</v>
      </c>
      <c r="N181" t="s">
        <v>67</v>
      </c>
      <c r="O181" t="s">
        <v>68</v>
      </c>
      <c r="P181">
        <v>0</v>
      </c>
      <c r="Q181">
        <v>0</v>
      </c>
      <c r="R181">
        <v>0</v>
      </c>
      <c r="S181">
        <v>0</v>
      </c>
      <c r="T181">
        <v>0</v>
      </c>
      <c r="U181">
        <v>0</v>
      </c>
      <c r="V181">
        <v>0</v>
      </c>
      <c r="W181">
        <v>0</v>
      </c>
      <c r="X181">
        <v>0</v>
      </c>
      <c r="Y181">
        <v>0</v>
      </c>
      <c r="Z181">
        <v>0</v>
      </c>
      <c r="AA181">
        <v>0</v>
      </c>
      <c r="AB181">
        <v>0</v>
      </c>
    </row>
    <row r="182" spans="1:28" x14ac:dyDescent="0.3">
      <c r="A182" s="1">
        <v>44078</v>
      </c>
      <c r="B182" t="s">
        <v>75</v>
      </c>
      <c r="C182">
        <v>3</v>
      </c>
      <c r="D182">
        <v>0</v>
      </c>
      <c r="E182">
        <v>0</v>
      </c>
      <c r="F182">
        <v>0</v>
      </c>
      <c r="G182">
        <v>0</v>
      </c>
      <c r="H182">
        <v>0</v>
      </c>
      <c r="I182">
        <v>0</v>
      </c>
      <c r="J182">
        <v>0</v>
      </c>
      <c r="K182">
        <v>0</v>
      </c>
      <c r="L182">
        <v>0</v>
      </c>
      <c r="M182">
        <v>745788</v>
      </c>
      <c r="N182" t="s">
        <v>76</v>
      </c>
      <c r="O182" t="s">
        <v>77</v>
      </c>
      <c r="P182">
        <v>0</v>
      </c>
      <c r="Q182">
        <v>0</v>
      </c>
      <c r="R182">
        <v>0</v>
      </c>
      <c r="S182">
        <v>0</v>
      </c>
      <c r="T182">
        <v>0</v>
      </c>
      <c r="U182">
        <v>0</v>
      </c>
      <c r="V182">
        <v>0</v>
      </c>
      <c r="W182">
        <v>0</v>
      </c>
      <c r="X182">
        <v>0</v>
      </c>
      <c r="Y182">
        <v>0</v>
      </c>
      <c r="Z182">
        <v>0</v>
      </c>
      <c r="AA182">
        <v>0</v>
      </c>
      <c r="AB182">
        <v>0</v>
      </c>
    </row>
    <row r="183" spans="1:28" x14ac:dyDescent="0.3">
      <c r="A183" s="1">
        <v>44078</v>
      </c>
      <c r="B183" t="s">
        <v>60</v>
      </c>
      <c r="C183">
        <v>3</v>
      </c>
      <c r="D183">
        <v>0</v>
      </c>
      <c r="E183">
        <v>0</v>
      </c>
      <c r="F183">
        <v>0</v>
      </c>
      <c r="G183">
        <v>0</v>
      </c>
      <c r="H183">
        <v>0</v>
      </c>
      <c r="I183">
        <v>0</v>
      </c>
      <c r="J183">
        <v>0</v>
      </c>
      <c r="K183">
        <v>0</v>
      </c>
      <c r="L183">
        <v>0</v>
      </c>
      <c r="M183">
        <v>748814</v>
      </c>
      <c r="N183" t="s">
        <v>61</v>
      </c>
      <c r="O183" t="s">
        <v>62</v>
      </c>
      <c r="P183">
        <v>0</v>
      </c>
      <c r="Q183">
        <v>0</v>
      </c>
      <c r="R183">
        <v>0</v>
      </c>
      <c r="S183">
        <v>0</v>
      </c>
      <c r="T183">
        <v>0</v>
      </c>
      <c r="U183">
        <v>0</v>
      </c>
      <c r="V183">
        <v>0</v>
      </c>
      <c r="W183">
        <v>0</v>
      </c>
      <c r="X183">
        <v>0</v>
      </c>
      <c r="Y183">
        <v>0</v>
      </c>
      <c r="Z183">
        <v>0</v>
      </c>
      <c r="AA183">
        <v>0</v>
      </c>
      <c r="AB183">
        <v>0</v>
      </c>
    </row>
    <row r="184" spans="1:28" x14ac:dyDescent="0.3">
      <c r="A184" s="1">
        <v>44078</v>
      </c>
      <c r="B184" t="s">
        <v>195</v>
      </c>
      <c r="C184">
        <v>3</v>
      </c>
      <c r="D184">
        <v>0</v>
      </c>
      <c r="E184">
        <v>0</v>
      </c>
      <c r="F184">
        <v>0</v>
      </c>
      <c r="G184">
        <v>0</v>
      </c>
      <c r="H184">
        <v>0</v>
      </c>
      <c r="I184">
        <v>0</v>
      </c>
      <c r="J184">
        <v>0</v>
      </c>
      <c r="K184">
        <v>0</v>
      </c>
      <c r="L184">
        <v>0</v>
      </c>
      <c r="M184">
        <v>2182271</v>
      </c>
      <c r="N184" t="s">
        <v>196</v>
      </c>
      <c r="O184" t="s">
        <v>197</v>
      </c>
      <c r="P184">
        <v>0</v>
      </c>
      <c r="Q184">
        <v>0</v>
      </c>
      <c r="R184">
        <v>0</v>
      </c>
      <c r="S184">
        <v>0</v>
      </c>
      <c r="T184">
        <v>0</v>
      </c>
      <c r="U184">
        <v>0</v>
      </c>
      <c r="V184">
        <v>0</v>
      </c>
      <c r="W184">
        <v>0</v>
      </c>
      <c r="X184">
        <v>0</v>
      </c>
      <c r="Y184">
        <v>0</v>
      </c>
      <c r="Z184">
        <v>0</v>
      </c>
      <c r="AA184">
        <v>0</v>
      </c>
      <c r="AB184">
        <v>0</v>
      </c>
    </row>
    <row r="185" spans="1:28" x14ac:dyDescent="0.3">
      <c r="A185" s="1">
        <v>44078</v>
      </c>
      <c r="B185" t="s">
        <v>90</v>
      </c>
      <c r="C185">
        <v>2</v>
      </c>
      <c r="D185">
        <v>0</v>
      </c>
      <c r="E185">
        <v>0</v>
      </c>
      <c r="F185">
        <v>0</v>
      </c>
      <c r="G185">
        <v>0</v>
      </c>
      <c r="H185">
        <v>0</v>
      </c>
      <c r="I185">
        <v>0</v>
      </c>
      <c r="J185">
        <v>0</v>
      </c>
      <c r="K185">
        <v>0</v>
      </c>
      <c r="L185">
        <v>0</v>
      </c>
      <c r="M185">
        <v>136482</v>
      </c>
      <c r="N185" t="s">
        <v>91</v>
      </c>
      <c r="O185" t="s">
        <v>92</v>
      </c>
      <c r="P185">
        <v>0</v>
      </c>
      <c r="Q185">
        <v>0</v>
      </c>
      <c r="R185">
        <v>0</v>
      </c>
      <c r="S185">
        <v>0</v>
      </c>
      <c r="T185">
        <v>0</v>
      </c>
      <c r="U185">
        <v>0</v>
      </c>
      <c r="V185">
        <v>0</v>
      </c>
      <c r="W185">
        <v>0</v>
      </c>
      <c r="X185">
        <v>0</v>
      </c>
      <c r="Y185">
        <v>0</v>
      </c>
      <c r="Z185">
        <v>0</v>
      </c>
      <c r="AA185">
        <v>0</v>
      </c>
      <c r="AB185">
        <v>0</v>
      </c>
    </row>
    <row r="186" spans="1:28" x14ac:dyDescent="0.3">
      <c r="A186" s="1">
        <v>44078</v>
      </c>
      <c r="B186" t="s">
        <v>99</v>
      </c>
      <c r="C186">
        <v>2</v>
      </c>
      <c r="D186">
        <v>0</v>
      </c>
      <c r="E186">
        <v>0</v>
      </c>
      <c r="F186">
        <v>0</v>
      </c>
      <c r="G186">
        <v>0</v>
      </c>
      <c r="H186">
        <v>0</v>
      </c>
      <c r="I186">
        <v>0</v>
      </c>
      <c r="J186">
        <v>0</v>
      </c>
      <c r="K186">
        <v>0</v>
      </c>
      <c r="L186">
        <v>0</v>
      </c>
      <c r="M186">
        <v>193744</v>
      </c>
      <c r="N186" t="s">
        <v>100</v>
      </c>
      <c r="O186" t="s">
        <v>101</v>
      </c>
      <c r="P186">
        <v>0</v>
      </c>
      <c r="Q186">
        <v>0</v>
      </c>
      <c r="R186">
        <v>0</v>
      </c>
      <c r="S186">
        <v>0</v>
      </c>
      <c r="T186">
        <v>0</v>
      </c>
      <c r="U186">
        <v>0</v>
      </c>
      <c r="V186">
        <v>0</v>
      </c>
      <c r="W186">
        <v>0</v>
      </c>
      <c r="X186">
        <v>0</v>
      </c>
      <c r="Y186">
        <v>0</v>
      </c>
      <c r="Z186">
        <v>0</v>
      </c>
      <c r="AA186">
        <v>0</v>
      </c>
      <c r="AB186">
        <v>0</v>
      </c>
    </row>
    <row r="187" spans="1:28" x14ac:dyDescent="0.3">
      <c r="A187" s="1">
        <v>44078</v>
      </c>
      <c r="B187" t="s">
        <v>72</v>
      </c>
      <c r="C187">
        <v>2</v>
      </c>
      <c r="D187">
        <v>0</v>
      </c>
      <c r="E187">
        <v>0</v>
      </c>
      <c r="F187">
        <v>0</v>
      </c>
      <c r="G187">
        <v>0</v>
      </c>
      <c r="H187">
        <v>0</v>
      </c>
      <c r="I187">
        <v>0</v>
      </c>
      <c r="J187">
        <v>0</v>
      </c>
      <c r="K187">
        <v>0</v>
      </c>
      <c r="L187">
        <v>0</v>
      </c>
      <c r="M187">
        <v>514792</v>
      </c>
      <c r="N187" t="s">
        <v>73</v>
      </c>
      <c r="O187" t="s">
        <v>74</v>
      </c>
      <c r="P187">
        <v>0</v>
      </c>
      <c r="Q187">
        <v>0</v>
      </c>
      <c r="R187">
        <v>0</v>
      </c>
      <c r="S187">
        <v>0</v>
      </c>
      <c r="T187">
        <v>0</v>
      </c>
      <c r="U187">
        <v>0</v>
      </c>
      <c r="V187">
        <v>0</v>
      </c>
      <c r="W187">
        <v>0</v>
      </c>
      <c r="X187">
        <v>0</v>
      </c>
      <c r="Y187">
        <v>0</v>
      </c>
      <c r="Z187">
        <v>0</v>
      </c>
      <c r="AA187">
        <v>0</v>
      </c>
      <c r="AB187">
        <v>0</v>
      </c>
    </row>
    <row r="188" spans="1:28" x14ac:dyDescent="0.3">
      <c r="A188" s="1">
        <v>44078</v>
      </c>
      <c r="B188" t="s">
        <v>270</v>
      </c>
      <c r="C188">
        <v>2</v>
      </c>
      <c r="D188">
        <v>0</v>
      </c>
      <c r="E188">
        <v>0</v>
      </c>
      <c r="F188">
        <v>0</v>
      </c>
      <c r="G188">
        <v>0</v>
      </c>
      <c r="H188">
        <v>0</v>
      </c>
      <c r="I188">
        <v>0</v>
      </c>
      <c r="J188">
        <v>0</v>
      </c>
      <c r="K188">
        <v>0</v>
      </c>
      <c r="L188">
        <v>0</v>
      </c>
      <c r="M188">
        <v>1023348</v>
      </c>
      <c r="N188" t="s">
        <v>271</v>
      </c>
      <c r="O188" t="s">
        <v>272</v>
      </c>
      <c r="P188">
        <v>0</v>
      </c>
      <c r="Q188">
        <v>0</v>
      </c>
      <c r="R188">
        <v>0</v>
      </c>
      <c r="S188">
        <v>0</v>
      </c>
      <c r="T188">
        <v>0</v>
      </c>
      <c r="U188">
        <v>0</v>
      </c>
      <c r="V188">
        <v>0</v>
      </c>
      <c r="W188">
        <v>0</v>
      </c>
      <c r="X188">
        <v>0</v>
      </c>
      <c r="Y188">
        <v>0</v>
      </c>
      <c r="Z188">
        <v>0</v>
      </c>
      <c r="AA188">
        <v>0</v>
      </c>
      <c r="AB188">
        <v>0</v>
      </c>
    </row>
    <row r="189" spans="1:28" x14ac:dyDescent="0.3">
      <c r="A189" s="1">
        <v>44078</v>
      </c>
      <c r="B189" t="s">
        <v>81</v>
      </c>
      <c r="C189">
        <v>2</v>
      </c>
      <c r="D189">
        <v>0</v>
      </c>
      <c r="E189">
        <v>0</v>
      </c>
      <c r="F189">
        <v>0</v>
      </c>
      <c r="G189">
        <v>0</v>
      </c>
      <c r="H189">
        <v>0</v>
      </c>
      <c r="I189">
        <v>0</v>
      </c>
      <c r="J189">
        <v>0</v>
      </c>
      <c r="K189">
        <v>0</v>
      </c>
      <c r="L189">
        <v>0</v>
      </c>
      <c r="M189">
        <v>1225169</v>
      </c>
      <c r="N189" t="s">
        <v>82</v>
      </c>
      <c r="O189" t="s">
        <v>83</v>
      </c>
      <c r="P189">
        <v>0</v>
      </c>
      <c r="Q189">
        <v>0</v>
      </c>
      <c r="R189">
        <v>0</v>
      </c>
      <c r="S189">
        <v>0</v>
      </c>
      <c r="T189">
        <v>0</v>
      </c>
      <c r="U189">
        <v>0</v>
      </c>
      <c r="V189">
        <v>0</v>
      </c>
      <c r="W189">
        <v>0</v>
      </c>
      <c r="X189">
        <v>0</v>
      </c>
      <c r="Y189">
        <v>0</v>
      </c>
      <c r="Z189">
        <v>0</v>
      </c>
      <c r="AA189">
        <v>0</v>
      </c>
      <c r="AB189">
        <v>0</v>
      </c>
    </row>
    <row r="190" spans="1:28" x14ac:dyDescent="0.3">
      <c r="A190" s="1">
        <v>44078</v>
      </c>
      <c r="B190" t="s">
        <v>84</v>
      </c>
      <c r="C190">
        <v>2</v>
      </c>
      <c r="D190">
        <v>0</v>
      </c>
      <c r="E190">
        <v>0</v>
      </c>
      <c r="F190">
        <v>0</v>
      </c>
      <c r="G190">
        <v>0</v>
      </c>
      <c r="H190">
        <v>0</v>
      </c>
      <c r="I190">
        <v>0</v>
      </c>
      <c r="J190">
        <v>0</v>
      </c>
      <c r="K190">
        <v>0</v>
      </c>
      <c r="L190">
        <v>0</v>
      </c>
      <c r="M190">
        <v>1242889</v>
      </c>
      <c r="N190" t="s">
        <v>85</v>
      </c>
      <c r="O190" t="s">
        <v>86</v>
      </c>
      <c r="P190">
        <v>0</v>
      </c>
      <c r="Q190">
        <v>0</v>
      </c>
      <c r="R190">
        <v>0</v>
      </c>
      <c r="S190">
        <v>0</v>
      </c>
      <c r="T190">
        <v>0</v>
      </c>
      <c r="U190">
        <v>0</v>
      </c>
      <c r="V190">
        <v>0</v>
      </c>
      <c r="W190">
        <v>0</v>
      </c>
      <c r="X190">
        <v>0</v>
      </c>
      <c r="Y190">
        <v>0</v>
      </c>
      <c r="Z190">
        <v>0</v>
      </c>
      <c r="AA190">
        <v>0</v>
      </c>
      <c r="AB190">
        <v>0</v>
      </c>
    </row>
    <row r="191" spans="1:28" x14ac:dyDescent="0.3">
      <c r="A191" s="1">
        <v>44078</v>
      </c>
      <c r="B191" t="s">
        <v>31</v>
      </c>
      <c r="C191">
        <v>2</v>
      </c>
      <c r="D191">
        <v>0</v>
      </c>
      <c r="E191">
        <v>0</v>
      </c>
      <c r="F191">
        <v>0</v>
      </c>
      <c r="G191">
        <v>0</v>
      </c>
      <c r="H191">
        <v>0</v>
      </c>
      <c r="I191">
        <v>0</v>
      </c>
      <c r="J191">
        <v>0</v>
      </c>
      <c r="K191">
        <v>0</v>
      </c>
      <c r="L191">
        <v>0</v>
      </c>
      <c r="M191">
        <v>1663605</v>
      </c>
      <c r="N191" t="s">
        <v>32</v>
      </c>
      <c r="O191" t="s">
        <v>33</v>
      </c>
      <c r="P191">
        <v>0</v>
      </c>
      <c r="Q191">
        <v>0</v>
      </c>
      <c r="R191">
        <v>0</v>
      </c>
      <c r="S191">
        <v>0</v>
      </c>
      <c r="T191">
        <v>0</v>
      </c>
      <c r="U191">
        <v>0</v>
      </c>
      <c r="V191">
        <v>0</v>
      </c>
      <c r="W191">
        <v>0</v>
      </c>
      <c r="X191">
        <v>0</v>
      </c>
      <c r="Y191">
        <v>0</v>
      </c>
      <c r="Z191">
        <v>0</v>
      </c>
      <c r="AA191">
        <v>0</v>
      </c>
      <c r="AB191">
        <v>0</v>
      </c>
    </row>
    <row r="192" spans="1:28" x14ac:dyDescent="0.3">
      <c r="A192" s="1">
        <v>44078</v>
      </c>
      <c r="B192" t="s">
        <v>114</v>
      </c>
      <c r="C192">
        <v>2</v>
      </c>
      <c r="D192">
        <v>0</v>
      </c>
      <c r="E192">
        <v>0</v>
      </c>
      <c r="F192">
        <v>0</v>
      </c>
      <c r="G192">
        <v>0</v>
      </c>
      <c r="H192">
        <v>0</v>
      </c>
      <c r="I192">
        <v>0</v>
      </c>
      <c r="J192">
        <v>0</v>
      </c>
      <c r="K192">
        <v>0</v>
      </c>
      <c r="L192">
        <v>0</v>
      </c>
      <c r="M192">
        <v>2059568</v>
      </c>
      <c r="N192" t="s">
        <v>115</v>
      </c>
      <c r="O192" t="s">
        <v>116</v>
      </c>
      <c r="P192">
        <v>0</v>
      </c>
      <c r="Q192">
        <v>0</v>
      </c>
      <c r="R192">
        <v>0</v>
      </c>
      <c r="S192">
        <v>0</v>
      </c>
      <c r="T192">
        <v>0</v>
      </c>
      <c r="U192">
        <v>0</v>
      </c>
      <c r="V192">
        <v>0</v>
      </c>
      <c r="W192">
        <v>0</v>
      </c>
      <c r="X192">
        <v>0</v>
      </c>
      <c r="Y192">
        <v>0</v>
      </c>
      <c r="Z192">
        <v>0</v>
      </c>
      <c r="AA192">
        <v>0</v>
      </c>
      <c r="AB192">
        <v>0</v>
      </c>
    </row>
    <row r="193" spans="1:28" x14ac:dyDescent="0.3">
      <c r="A193" s="1">
        <v>44078</v>
      </c>
      <c r="B193" t="s">
        <v>117</v>
      </c>
      <c r="C193">
        <v>2</v>
      </c>
      <c r="D193">
        <v>0</v>
      </c>
      <c r="E193">
        <v>0</v>
      </c>
      <c r="F193">
        <v>0</v>
      </c>
      <c r="G193">
        <v>0</v>
      </c>
      <c r="H193">
        <v>0</v>
      </c>
      <c r="I193">
        <v>0</v>
      </c>
      <c r="J193">
        <v>0</v>
      </c>
      <c r="K193">
        <v>0</v>
      </c>
      <c r="L193">
        <v>0</v>
      </c>
      <c r="M193">
        <v>2316883</v>
      </c>
      <c r="N193" t="s">
        <v>118</v>
      </c>
      <c r="O193" t="s">
        <v>119</v>
      </c>
      <c r="P193">
        <v>0</v>
      </c>
      <c r="Q193">
        <v>0</v>
      </c>
      <c r="R193">
        <v>0</v>
      </c>
      <c r="S193">
        <v>0</v>
      </c>
      <c r="T193">
        <v>0</v>
      </c>
      <c r="U193">
        <v>0</v>
      </c>
      <c r="V193">
        <v>0</v>
      </c>
      <c r="W193">
        <v>0</v>
      </c>
      <c r="X193">
        <v>0</v>
      </c>
      <c r="Y193">
        <v>0</v>
      </c>
      <c r="Z193">
        <v>0</v>
      </c>
      <c r="AA193">
        <v>0</v>
      </c>
      <c r="AB193">
        <v>0</v>
      </c>
    </row>
    <row r="194" spans="1:28" x14ac:dyDescent="0.3">
      <c r="A194" s="1">
        <v>44078</v>
      </c>
      <c r="B194" t="s">
        <v>120</v>
      </c>
      <c r="C194">
        <v>1</v>
      </c>
      <c r="D194">
        <v>0</v>
      </c>
      <c r="E194">
        <v>0</v>
      </c>
      <c r="F194">
        <v>0</v>
      </c>
      <c r="G194">
        <v>0</v>
      </c>
      <c r="H194">
        <v>0</v>
      </c>
      <c r="I194">
        <v>0</v>
      </c>
      <c r="J194">
        <v>0</v>
      </c>
      <c r="K194">
        <v>0</v>
      </c>
      <c r="L194">
        <v>0</v>
      </c>
      <c r="M194">
        <v>154911</v>
      </c>
      <c r="N194" t="s">
        <v>121</v>
      </c>
      <c r="O194" t="s">
        <v>122</v>
      </c>
      <c r="P194">
        <v>0</v>
      </c>
      <c r="Q194">
        <v>0</v>
      </c>
      <c r="R194">
        <v>0</v>
      </c>
      <c r="S194">
        <v>0</v>
      </c>
      <c r="T194">
        <v>0</v>
      </c>
      <c r="U194">
        <v>0</v>
      </c>
      <c r="V194">
        <v>0</v>
      </c>
      <c r="W194">
        <v>0</v>
      </c>
      <c r="X194">
        <v>0</v>
      </c>
      <c r="Y194">
        <v>0</v>
      </c>
      <c r="Z194">
        <v>0</v>
      </c>
      <c r="AA194">
        <v>0</v>
      </c>
      <c r="AB194">
        <v>0</v>
      </c>
    </row>
    <row r="195" spans="1:28" x14ac:dyDescent="0.3">
      <c r="A195" s="1">
        <v>44078</v>
      </c>
      <c r="B195" t="s">
        <v>126</v>
      </c>
      <c r="C195">
        <v>1</v>
      </c>
      <c r="D195">
        <v>0</v>
      </c>
      <c r="E195">
        <v>0</v>
      </c>
      <c r="F195">
        <v>0</v>
      </c>
      <c r="G195">
        <v>0</v>
      </c>
      <c r="H195">
        <v>0</v>
      </c>
      <c r="I195">
        <v>0</v>
      </c>
      <c r="J195">
        <v>0</v>
      </c>
      <c r="K195">
        <v>0</v>
      </c>
      <c r="L195">
        <v>0</v>
      </c>
      <c r="M195">
        <v>318676</v>
      </c>
      <c r="N195" t="s">
        <v>127</v>
      </c>
      <c r="O195" t="s">
        <v>128</v>
      </c>
      <c r="P195">
        <v>0</v>
      </c>
      <c r="Q195">
        <v>0</v>
      </c>
      <c r="R195">
        <v>0</v>
      </c>
      <c r="S195">
        <v>0</v>
      </c>
      <c r="T195">
        <v>0</v>
      </c>
      <c r="U195">
        <v>0</v>
      </c>
      <c r="V195">
        <v>0</v>
      </c>
      <c r="W195">
        <v>0</v>
      </c>
      <c r="X195">
        <v>0</v>
      </c>
      <c r="Y195">
        <v>0</v>
      </c>
      <c r="Z195">
        <v>0</v>
      </c>
      <c r="AA195">
        <v>0</v>
      </c>
      <c r="AB195">
        <v>0</v>
      </c>
    </row>
    <row r="196" spans="1:28" x14ac:dyDescent="0.3">
      <c r="A196" s="1">
        <v>44078</v>
      </c>
      <c r="B196" t="s">
        <v>162</v>
      </c>
      <c r="C196">
        <v>1</v>
      </c>
      <c r="D196">
        <v>0</v>
      </c>
      <c r="E196">
        <v>0</v>
      </c>
      <c r="F196">
        <v>0</v>
      </c>
      <c r="G196">
        <v>0</v>
      </c>
      <c r="H196">
        <v>0</v>
      </c>
      <c r="I196">
        <v>0</v>
      </c>
      <c r="J196">
        <v>0</v>
      </c>
      <c r="K196">
        <v>0</v>
      </c>
      <c r="L196">
        <v>0</v>
      </c>
      <c r="M196">
        <v>708786</v>
      </c>
      <c r="N196" t="s">
        <v>163</v>
      </c>
      <c r="O196" t="s">
        <v>164</v>
      </c>
      <c r="P196">
        <v>0</v>
      </c>
      <c r="Q196">
        <v>0</v>
      </c>
      <c r="R196">
        <v>0</v>
      </c>
      <c r="S196">
        <v>0</v>
      </c>
      <c r="T196">
        <v>0</v>
      </c>
      <c r="U196">
        <v>0</v>
      </c>
      <c r="V196">
        <v>0</v>
      </c>
      <c r="W196">
        <v>0</v>
      </c>
      <c r="X196">
        <v>0</v>
      </c>
      <c r="Y196">
        <v>0</v>
      </c>
      <c r="Z196">
        <v>0</v>
      </c>
      <c r="AA196">
        <v>0</v>
      </c>
      <c r="AB196">
        <v>0</v>
      </c>
    </row>
    <row r="197" spans="1:28" x14ac:dyDescent="0.3">
      <c r="A197" s="1">
        <v>44078</v>
      </c>
      <c r="B197" t="s">
        <v>222</v>
      </c>
      <c r="C197">
        <v>1</v>
      </c>
      <c r="D197">
        <v>0</v>
      </c>
      <c r="E197">
        <v>0</v>
      </c>
      <c r="F197">
        <v>0</v>
      </c>
      <c r="G197">
        <v>0</v>
      </c>
      <c r="H197">
        <v>0</v>
      </c>
      <c r="I197">
        <v>0</v>
      </c>
      <c r="J197">
        <v>0</v>
      </c>
      <c r="K197">
        <v>0</v>
      </c>
      <c r="L197">
        <v>0</v>
      </c>
      <c r="M197">
        <v>824466</v>
      </c>
      <c r="N197" t="s">
        <v>223</v>
      </c>
      <c r="O197" t="s">
        <v>224</v>
      </c>
      <c r="P197">
        <v>0</v>
      </c>
      <c r="Q197">
        <v>0</v>
      </c>
      <c r="R197">
        <v>0</v>
      </c>
      <c r="S197">
        <v>0</v>
      </c>
      <c r="T197">
        <v>0</v>
      </c>
      <c r="U197">
        <v>0</v>
      </c>
      <c r="V197">
        <v>0</v>
      </c>
      <c r="W197">
        <v>0</v>
      </c>
      <c r="X197">
        <v>0</v>
      </c>
      <c r="Y197">
        <v>0</v>
      </c>
      <c r="Z197">
        <v>0</v>
      </c>
      <c r="AA197">
        <v>0</v>
      </c>
      <c r="AB197">
        <v>0</v>
      </c>
    </row>
    <row r="198" spans="1:28" x14ac:dyDescent="0.3">
      <c r="A198" s="1">
        <v>44078</v>
      </c>
      <c r="B198" t="s">
        <v>105</v>
      </c>
      <c r="C198">
        <v>1</v>
      </c>
      <c r="D198">
        <v>0</v>
      </c>
      <c r="E198">
        <v>0</v>
      </c>
      <c r="F198">
        <v>0</v>
      </c>
      <c r="G198">
        <v>0</v>
      </c>
      <c r="H198">
        <v>0</v>
      </c>
      <c r="I198">
        <v>0</v>
      </c>
      <c r="J198">
        <v>0</v>
      </c>
      <c r="K198">
        <v>0</v>
      </c>
      <c r="L198">
        <v>0</v>
      </c>
      <c r="M198">
        <v>930703</v>
      </c>
      <c r="N198" t="s">
        <v>106</v>
      </c>
      <c r="O198" t="s">
        <v>107</v>
      </c>
      <c r="P198">
        <v>0</v>
      </c>
      <c r="Q198">
        <v>0</v>
      </c>
      <c r="R198">
        <v>0</v>
      </c>
      <c r="S198">
        <v>0</v>
      </c>
      <c r="T198">
        <v>0</v>
      </c>
      <c r="U198">
        <v>0</v>
      </c>
      <c r="V198">
        <v>0</v>
      </c>
      <c r="W198">
        <v>0</v>
      </c>
      <c r="X198">
        <v>0</v>
      </c>
      <c r="Y198">
        <v>0</v>
      </c>
      <c r="Z198">
        <v>0</v>
      </c>
      <c r="AA198">
        <v>0</v>
      </c>
      <c r="AB198">
        <v>0</v>
      </c>
    </row>
    <row r="199" spans="1:28" x14ac:dyDescent="0.3">
      <c r="A199" s="1">
        <v>44078</v>
      </c>
      <c r="B199" t="s">
        <v>129</v>
      </c>
      <c r="C199">
        <v>1</v>
      </c>
      <c r="D199">
        <v>0</v>
      </c>
      <c r="E199">
        <v>0</v>
      </c>
      <c r="F199">
        <v>0</v>
      </c>
      <c r="G199">
        <v>0</v>
      </c>
      <c r="H199">
        <v>0</v>
      </c>
      <c r="I199">
        <v>0</v>
      </c>
      <c r="J199">
        <v>0</v>
      </c>
      <c r="K199">
        <v>0</v>
      </c>
      <c r="L199">
        <v>0</v>
      </c>
      <c r="M199">
        <v>1140999</v>
      </c>
      <c r="N199" t="s">
        <v>130</v>
      </c>
      <c r="O199" t="s">
        <v>131</v>
      </c>
      <c r="P199">
        <v>0</v>
      </c>
      <c r="Q199">
        <v>0</v>
      </c>
      <c r="R199">
        <v>0</v>
      </c>
      <c r="S199">
        <v>0</v>
      </c>
      <c r="T199">
        <v>0</v>
      </c>
      <c r="U199">
        <v>0</v>
      </c>
      <c r="V199">
        <v>0</v>
      </c>
      <c r="W199">
        <v>0</v>
      </c>
      <c r="X199">
        <v>0</v>
      </c>
      <c r="Y199">
        <v>0</v>
      </c>
      <c r="Z199">
        <v>0</v>
      </c>
      <c r="AA199">
        <v>0</v>
      </c>
      <c r="AB199">
        <v>0</v>
      </c>
    </row>
    <row r="200" spans="1:28" x14ac:dyDescent="0.3">
      <c r="A200" s="1">
        <v>44078</v>
      </c>
      <c r="B200" t="s">
        <v>96</v>
      </c>
      <c r="C200">
        <v>1</v>
      </c>
      <c r="D200">
        <v>0</v>
      </c>
      <c r="E200">
        <v>0</v>
      </c>
      <c r="F200">
        <v>0</v>
      </c>
      <c r="G200">
        <v>0</v>
      </c>
      <c r="H200">
        <v>0</v>
      </c>
      <c r="I200">
        <v>0</v>
      </c>
      <c r="J200">
        <v>0</v>
      </c>
      <c r="K200">
        <v>0</v>
      </c>
      <c r="L200">
        <v>0</v>
      </c>
      <c r="M200">
        <v>1372745</v>
      </c>
      <c r="N200" t="s">
        <v>97</v>
      </c>
      <c r="O200" t="s">
        <v>98</v>
      </c>
      <c r="P200">
        <v>0</v>
      </c>
      <c r="Q200">
        <v>0</v>
      </c>
      <c r="R200">
        <v>0</v>
      </c>
      <c r="S200">
        <v>0</v>
      </c>
      <c r="T200">
        <v>0</v>
      </c>
      <c r="U200">
        <v>0</v>
      </c>
      <c r="V200">
        <v>0</v>
      </c>
      <c r="W200">
        <v>0</v>
      </c>
      <c r="X200">
        <v>0</v>
      </c>
      <c r="Y200">
        <v>0</v>
      </c>
      <c r="Z200">
        <v>0</v>
      </c>
      <c r="AA200">
        <v>0</v>
      </c>
      <c r="AB200">
        <v>0</v>
      </c>
    </row>
    <row r="201" spans="1:28" x14ac:dyDescent="0.3">
      <c r="A201" s="1">
        <v>44078</v>
      </c>
      <c r="B201" t="s">
        <v>87</v>
      </c>
      <c r="C201">
        <v>1</v>
      </c>
      <c r="D201">
        <v>0</v>
      </c>
      <c r="E201">
        <v>0</v>
      </c>
      <c r="F201">
        <v>0</v>
      </c>
      <c r="G201">
        <v>0</v>
      </c>
      <c r="H201">
        <v>0</v>
      </c>
      <c r="I201">
        <v>0</v>
      </c>
      <c r="J201">
        <v>0</v>
      </c>
      <c r="K201">
        <v>0</v>
      </c>
      <c r="L201">
        <v>0</v>
      </c>
      <c r="M201">
        <v>1519404</v>
      </c>
      <c r="N201" t="s">
        <v>88</v>
      </c>
      <c r="O201" t="s">
        <v>89</v>
      </c>
      <c r="P201">
        <v>0</v>
      </c>
      <c r="Q201">
        <v>0</v>
      </c>
      <c r="R201">
        <v>0</v>
      </c>
      <c r="S201">
        <v>0</v>
      </c>
      <c r="T201">
        <v>0</v>
      </c>
      <c r="U201">
        <v>0</v>
      </c>
      <c r="V201">
        <v>0</v>
      </c>
      <c r="W201">
        <v>0</v>
      </c>
      <c r="X201">
        <v>0</v>
      </c>
      <c r="Y201">
        <v>0</v>
      </c>
      <c r="Z201">
        <v>0</v>
      </c>
      <c r="AA201">
        <v>0</v>
      </c>
      <c r="AB201">
        <v>0</v>
      </c>
    </row>
    <row r="202" spans="1:28" x14ac:dyDescent="0.3">
      <c r="A202" s="1">
        <v>44078</v>
      </c>
      <c r="B202" t="s">
        <v>69</v>
      </c>
      <c r="C202">
        <v>1</v>
      </c>
      <c r="D202">
        <v>0</v>
      </c>
      <c r="E202">
        <v>0</v>
      </c>
      <c r="F202">
        <v>0</v>
      </c>
      <c r="G202">
        <v>0</v>
      </c>
      <c r="H202">
        <v>0</v>
      </c>
      <c r="I202">
        <v>0</v>
      </c>
      <c r="J202">
        <v>0</v>
      </c>
      <c r="K202">
        <v>0</v>
      </c>
      <c r="L202">
        <v>0</v>
      </c>
      <c r="M202">
        <v>1772040</v>
      </c>
      <c r="N202" t="s">
        <v>70</v>
      </c>
      <c r="O202" t="s">
        <v>71</v>
      </c>
      <c r="P202">
        <v>0</v>
      </c>
      <c r="Q202">
        <v>0</v>
      </c>
      <c r="R202">
        <v>0</v>
      </c>
      <c r="S202">
        <v>0</v>
      </c>
      <c r="T202">
        <v>0</v>
      </c>
      <c r="U202">
        <v>0</v>
      </c>
      <c r="V202">
        <v>0</v>
      </c>
      <c r="W202">
        <v>0</v>
      </c>
      <c r="X202">
        <v>0</v>
      </c>
      <c r="Y202">
        <v>0</v>
      </c>
      <c r="Z202">
        <v>0</v>
      </c>
      <c r="AA202">
        <v>0</v>
      </c>
      <c r="AB202">
        <v>0</v>
      </c>
    </row>
    <row r="203" spans="1:28" x14ac:dyDescent="0.3">
      <c r="A203" s="1">
        <v>44078</v>
      </c>
      <c r="B203" t="s">
        <v>144</v>
      </c>
      <c r="C203">
        <v>1</v>
      </c>
      <c r="D203">
        <v>0</v>
      </c>
      <c r="E203">
        <v>0</v>
      </c>
      <c r="F203">
        <v>0</v>
      </c>
      <c r="G203">
        <v>0</v>
      </c>
      <c r="H203">
        <v>0</v>
      </c>
      <c r="I203">
        <v>0</v>
      </c>
      <c r="J203">
        <v>0</v>
      </c>
      <c r="K203">
        <v>0</v>
      </c>
      <c r="L203">
        <v>0</v>
      </c>
      <c r="M203">
        <v>2015681</v>
      </c>
      <c r="N203" t="s">
        <v>145</v>
      </c>
      <c r="O203" t="s">
        <v>146</v>
      </c>
      <c r="P203">
        <v>0</v>
      </c>
      <c r="Q203">
        <v>0</v>
      </c>
      <c r="R203">
        <v>0</v>
      </c>
      <c r="S203">
        <v>0</v>
      </c>
      <c r="T203">
        <v>0</v>
      </c>
      <c r="U203">
        <v>0</v>
      </c>
      <c r="V203">
        <v>0</v>
      </c>
      <c r="W203">
        <v>0</v>
      </c>
      <c r="X203">
        <v>0</v>
      </c>
      <c r="Y203">
        <v>0</v>
      </c>
      <c r="Z203">
        <v>0</v>
      </c>
      <c r="AA203">
        <v>0</v>
      </c>
      <c r="AB203">
        <v>0</v>
      </c>
    </row>
    <row r="204" spans="1:28" x14ac:dyDescent="0.3">
      <c r="A204" s="1">
        <v>44078</v>
      </c>
      <c r="B204" t="s">
        <v>249</v>
      </c>
      <c r="C204">
        <v>1</v>
      </c>
      <c r="D204">
        <v>0</v>
      </c>
      <c r="E204">
        <v>0</v>
      </c>
      <c r="F204">
        <v>0</v>
      </c>
      <c r="G204">
        <v>0</v>
      </c>
      <c r="H204">
        <v>0</v>
      </c>
      <c r="I204">
        <v>0</v>
      </c>
      <c r="J204">
        <v>0</v>
      </c>
      <c r="K204">
        <v>0</v>
      </c>
      <c r="L204">
        <v>0</v>
      </c>
      <c r="M204">
        <v>2159987</v>
      </c>
      <c r="N204" t="s">
        <v>250</v>
      </c>
      <c r="O204" t="s">
        <v>251</v>
      </c>
      <c r="P204">
        <v>0</v>
      </c>
      <c r="Q204">
        <v>0</v>
      </c>
      <c r="R204">
        <v>0</v>
      </c>
      <c r="S204">
        <v>0</v>
      </c>
      <c r="T204">
        <v>0</v>
      </c>
      <c r="U204">
        <v>0</v>
      </c>
      <c r="V204">
        <v>0</v>
      </c>
      <c r="W204">
        <v>0</v>
      </c>
      <c r="X204">
        <v>0</v>
      </c>
      <c r="Y204">
        <v>0</v>
      </c>
      <c r="Z204">
        <v>0</v>
      </c>
      <c r="AA204">
        <v>0</v>
      </c>
      <c r="AB204">
        <v>0</v>
      </c>
    </row>
    <row r="205" spans="1:28" x14ac:dyDescent="0.3">
      <c r="A205" s="1">
        <v>44078</v>
      </c>
      <c r="B205" t="s">
        <v>198</v>
      </c>
      <c r="C205">
        <v>1</v>
      </c>
      <c r="D205">
        <v>0</v>
      </c>
      <c r="E205">
        <v>0</v>
      </c>
      <c r="F205">
        <v>0</v>
      </c>
      <c r="G205">
        <v>0</v>
      </c>
      <c r="H205">
        <v>0</v>
      </c>
      <c r="I205">
        <v>0</v>
      </c>
      <c r="J205">
        <v>0</v>
      </c>
      <c r="K205">
        <v>0</v>
      </c>
      <c r="L205">
        <v>0</v>
      </c>
      <c r="M205">
        <v>2292146</v>
      </c>
      <c r="N205" t="s">
        <v>199</v>
      </c>
      <c r="O205" t="s">
        <v>200</v>
      </c>
      <c r="P205">
        <v>0</v>
      </c>
      <c r="Q205">
        <v>0</v>
      </c>
      <c r="R205">
        <v>0</v>
      </c>
      <c r="S205">
        <v>0</v>
      </c>
      <c r="T205">
        <v>0</v>
      </c>
      <c r="U205">
        <v>0</v>
      </c>
      <c r="V205">
        <v>0</v>
      </c>
      <c r="W205">
        <v>0</v>
      </c>
      <c r="X205">
        <v>0</v>
      </c>
      <c r="Y205">
        <v>0</v>
      </c>
      <c r="Z205">
        <v>0</v>
      </c>
      <c r="AA205">
        <v>0</v>
      </c>
      <c r="AB205">
        <v>0</v>
      </c>
    </row>
    <row r="206" spans="1:28" x14ac:dyDescent="0.3">
      <c r="A206" s="1">
        <v>44079</v>
      </c>
      <c r="B206" t="s">
        <v>55</v>
      </c>
      <c r="C206">
        <v>15</v>
      </c>
      <c r="D206">
        <v>174.3</v>
      </c>
      <c r="E206">
        <v>0</v>
      </c>
      <c r="F206">
        <v>174.3</v>
      </c>
      <c r="G206">
        <v>1</v>
      </c>
      <c r="H206">
        <v>0</v>
      </c>
      <c r="I206">
        <v>34.86</v>
      </c>
      <c r="J206">
        <v>6.67</v>
      </c>
      <c r="K206">
        <v>232.4</v>
      </c>
      <c r="L206">
        <v>174.3</v>
      </c>
      <c r="M206">
        <v>1773960</v>
      </c>
      <c r="N206" t="s">
        <v>35</v>
      </c>
      <c r="O206" t="s">
        <v>56</v>
      </c>
      <c r="P206">
        <v>1</v>
      </c>
      <c r="Q206">
        <v>0</v>
      </c>
      <c r="R206">
        <v>0</v>
      </c>
      <c r="S206">
        <v>0</v>
      </c>
      <c r="T206">
        <v>0</v>
      </c>
      <c r="U206">
        <v>0</v>
      </c>
      <c r="V206">
        <v>34.86</v>
      </c>
      <c r="W206">
        <v>0</v>
      </c>
      <c r="X206">
        <v>0</v>
      </c>
      <c r="Y206">
        <v>0</v>
      </c>
      <c r="Z206">
        <v>0</v>
      </c>
      <c r="AA206">
        <v>0</v>
      </c>
      <c r="AB206">
        <v>6.97</v>
      </c>
    </row>
    <row r="207" spans="1:28" x14ac:dyDescent="0.3">
      <c r="A207" s="1">
        <v>44079</v>
      </c>
      <c r="B207" t="s">
        <v>60</v>
      </c>
      <c r="C207">
        <v>7</v>
      </c>
      <c r="D207">
        <v>169</v>
      </c>
      <c r="E207">
        <v>0</v>
      </c>
      <c r="F207">
        <v>169</v>
      </c>
      <c r="G207">
        <v>1</v>
      </c>
      <c r="H207">
        <v>0</v>
      </c>
      <c r="I207">
        <v>30.42</v>
      </c>
      <c r="J207">
        <v>14.29</v>
      </c>
      <c r="K207">
        <v>434.57</v>
      </c>
      <c r="L207">
        <v>169</v>
      </c>
      <c r="M207">
        <v>748814</v>
      </c>
      <c r="N207" t="s">
        <v>61</v>
      </c>
      <c r="O207" t="s">
        <v>62</v>
      </c>
      <c r="P207">
        <v>1</v>
      </c>
      <c r="Q207">
        <v>0</v>
      </c>
      <c r="R207">
        <v>0</v>
      </c>
      <c r="S207">
        <v>0</v>
      </c>
      <c r="T207">
        <v>0</v>
      </c>
      <c r="U207">
        <v>0</v>
      </c>
      <c r="V207">
        <v>30.42</v>
      </c>
      <c r="W207">
        <v>0</v>
      </c>
      <c r="X207">
        <v>0</v>
      </c>
      <c r="Y207">
        <v>0</v>
      </c>
      <c r="Z207">
        <v>0</v>
      </c>
      <c r="AA207">
        <v>0</v>
      </c>
      <c r="AB207">
        <v>6.08</v>
      </c>
    </row>
    <row r="208" spans="1:28" x14ac:dyDescent="0.3">
      <c r="A208" s="1">
        <v>44079</v>
      </c>
      <c r="B208" t="s">
        <v>34</v>
      </c>
      <c r="C208">
        <v>32</v>
      </c>
      <c r="D208">
        <v>132.30000000000001</v>
      </c>
      <c r="E208">
        <v>0</v>
      </c>
      <c r="F208">
        <v>132.30000000000001</v>
      </c>
      <c r="G208">
        <v>1</v>
      </c>
      <c r="H208">
        <v>0</v>
      </c>
      <c r="I208">
        <v>26.46</v>
      </c>
      <c r="J208">
        <v>3.13</v>
      </c>
      <c r="K208">
        <v>82.69</v>
      </c>
      <c r="L208">
        <v>132.30000000000001</v>
      </c>
      <c r="M208">
        <v>2284878</v>
      </c>
      <c r="N208" t="s">
        <v>35</v>
      </c>
      <c r="O208" t="s">
        <v>36</v>
      </c>
      <c r="P208">
        <v>1</v>
      </c>
      <c r="Q208">
        <v>0</v>
      </c>
      <c r="R208">
        <v>0</v>
      </c>
      <c r="S208">
        <v>0</v>
      </c>
      <c r="T208">
        <v>0</v>
      </c>
      <c r="U208">
        <v>0</v>
      </c>
      <c r="V208">
        <v>26.46</v>
      </c>
      <c r="W208">
        <v>0</v>
      </c>
      <c r="X208">
        <v>0</v>
      </c>
      <c r="Y208">
        <v>0</v>
      </c>
      <c r="Z208">
        <v>0</v>
      </c>
      <c r="AA208">
        <v>0</v>
      </c>
      <c r="AB208">
        <v>5.29</v>
      </c>
    </row>
    <row r="209" spans="1:28" x14ac:dyDescent="0.3">
      <c r="A209" s="1">
        <v>44079</v>
      </c>
      <c r="B209" t="s">
        <v>49</v>
      </c>
      <c r="C209">
        <v>67</v>
      </c>
      <c r="D209">
        <v>463.2</v>
      </c>
      <c r="E209">
        <v>0</v>
      </c>
      <c r="F209">
        <v>463.2</v>
      </c>
      <c r="G209">
        <v>3</v>
      </c>
      <c r="H209">
        <v>0</v>
      </c>
      <c r="I209">
        <v>13.9</v>
      </c>
      <c r="J209">
        <v>4.4800000000000004</v>
      </c>
      <c r="K209">
        <v>20.75</v>
      </c>
      <c r="L209">
        <v>154.4</v>
      </c>
      <c r="M209">
        <v>725033</v>
      </c>
      <c r="N209" t="s">
        <v>50</v>
      </c>
      <c r="O209" t="s">
        <v>51</v>
      </c>
      <c r="P209">
        <v>3</v>
      </c>
      <c r="Q209">
        <v>0</v>
      </c>
      <c r="R209">
        <v>0</v>
      </c>
      <c r="S209">
        <v>0</v>
      </c>
      <c r="T209">
        <v>0</v>
      </c>
      <c r="U209">
        <v>0</v>
      </c>
      <c r="V209">
        <v>13.9</v>
      </c>
      <c r="W209">
        <v>0</v>
      </c>
      <c r="X209">
        <v>0</v>
      </c>
      <c r="Y209">
        <v>0</v>
      </c>
      <c r="Z209">
        <v>0</v>
      </c>
      <c r="AA209">
        <v>0</v>
      </c>
      <c r="AB209">
        <v>2.77</v>
      </c>
    </row>
    <row r="210" spans="1:28" x14ac:dyDescent="0.3">
      <c r="A210" s="1">
        <v>44079</v>
      </c>
      <c r="B210" t="s">
        <v>195</v>
      </c>
      <c r="C210">
        <v>2</v>
      </c>
      <c r="D210">
        <v>215.1</v>
      </c>
      <c r="E210">
        <v>0</v>
      </c>
      <c r="F210">
        <v>215.1</v>
      </c>
      <c r="G210">
        <v>1</v>
      </c>
      <c r="H210">
        <v>0</v>
      </c>
      <c r="I210">
        <v>6.45</v>
      </c>
      <c r="J210">
        <v>50</v>
      </c>
      <c r="K210">
        <v>322.5</v>
      </c>
      <c r="L210">
        <v>215.1</v>
      </c>
      <c r="M210">
        <v>2182271</v>
      </c>
      <c r="N210" t="s">
        <v>196</v>
      </c>
      <c r="O210" t="s">
        <v>197</v>
      </c>
      <c r="P210">
        <v>1</v>
      </c>
      <c r="Q210">
        <v>0</v>
      </c>
      <c r="R210">
        <v>0</v>
      </c>
      <c r="S210">
        <v>0</v>
      </c>
      <c r="T210">
        <v>0</v>
      </c>
      <c r="U210">
        <v>0</v>
      </c>
      <c r="V210">
        <v>6.45</v>
      </c>
      <c r="W210">
        <v>0</v>
      </c>
      <c r="X210">
        <v>0</v>
      </c>
      <c r="Y210">
        <v>0</v>
      </c>
      <c r="Z210">
        <v>0</v>
      </c>
      <c r="AA210">
        <v>0</v>
      </c>
      <c r="AB210">
        <v>1.29</v>
      </c>
    </row>
    <row r="211" spans="1:28" x14ac:dyDescent="0.3">
      <c r="A211" s="1">
        <v>44079</v>
      </c>
      <c r="B211" t="s">
        <v>90</v>
      </c>
      <c r="C211">
        <v>2</v>
      </c>
      <c r="D211">
        <v>139.30000000000001</v>
      </c>
      <c r="E211">
        <v>0</v>
      </c>
      <c r="F211">
        <v>139.30000000000001</v>
      </c>
      <c r="G211">
        <v>1</v>
      </c>
      <c r="H211">
        <v>0</v>
      </c>
      <c r="I211">
        <v>4.18</v>
      </c>
      <c r="J211">
        <v>50</v>
      </c>
      <c r="K211">
        <v>209</v>
      </c>
      <c r="L211">
        <v>139.30000000000001</v>
      </c>
      <c r="M211">
        <v>136482</v>
      </c>
      <c r="N211" t="s">
        <v>91</v>
      </c>
      <c r="O211" t="s">
        <v>92</v>
      </c>
      <c r="P211">
        <v>1</v>
      </c>
      <c r="Q211">
        <v>0</v>
      </c>
      <c r="R211">
        <v>0</v>
      </c>
      <c r="S211">
        <v>0</v>
      </c>
      <c r="T211">
        <v>0</v>
      </c>
      <c r="U211">
        <v>0</v>
      </c>
      <c r="V211">
        <v>4.18</v>
      </c>
      <c r="W211">
        <v>0</v>
      </c>
      <c r="X211">
        <v>0</v>
      </c>
      <c r="Y211">
        <v>0</v>
      </c>
      <c r="Z211">
        <v>0</v>
      </c>
      <c r="AA211">
        <v>0</v>
      </c>
      <c r="AB211">
        <v>0.84</v>
      </c>
    </row>
    <row r="212" spans="1:28" x14ac:dyDescent="0.3">
      <c r="A212" s="1">
        <v>44079</v>
      </c>
      <c r="B212" t="s">
        <v>28</v>
      </c>
      <c r="C212">
        <v>101</v>
      </c>
      <c r="D212">
        <v>0</v>
      </c>
      <c r="E212">
        <v>0</v>
      </c>
      <c r="F212">
        <v>0</v>
      </c>
      <c r="G212">
        <v>0</v>
      </c>
      <c r="H212">
        <v>0</v>
      </c>
      <c r="I212">
        <v>0</v>
      </c>
      <c r="J212">
        <v>0</v>
      </c>
      <c r="K212">
        <v>0</v>
      </c>
      <c r="L212">
        <v>0</v>
      </c>
      <c r="M212">
        <v>314743</v>
      </c>
      <c r="N212" t="s">
        <v>29</v>
      </c>
      <c r="O212" t="s">
        <v>30</v>
      </c>
      <c r="P212">
        <v>0</v>
      </c>
      <c r="Q212">
        <v>0</v>
      </c>
      <c r="R212">
        <v>0</v>
      </c>
      <c r="S212">
        <v>0</v>
      </c>
      <c r="T212">
        <v>0</v>
      </c>
      <c r="U212">
        <v>0</v>
      </c>
      <c r="V212">
        <v>0</v>
      </c>
      <c r="W212">
        <v>0</v>
      </c>
      <c r="X212">
        <v>0</v>
      </c>
      <c r="Y212">
        <v>0</v>
      </c>
      <c r="Z212">
        <v>0</v>
      </c>
      <c r="AA212">
        <v>0</v>
      </c>
      <c r="AB212">
        <v>0</v>
      </c>
    </row>
    <row r="213" spans="1:28" x14ac:dyDescent="0.3">
      <c r="A213" s="1">
        <v>44079</v>
      </c>
      <c r="B213" t="s">
        <v>52</v>
      </c>
      <c r="C213">
        <v>45</v>
      </c>
      <c r="D213">
        <v>0</v>
      </c>
      <c r="E213">
        <v>0</v>
      </c>
      <c r="F213">
        <v>0</v>
      </c>
      <c r="G213">
        <v>0</v>
      </c>
      <c r="H213">
        <v>0</v>
      </c>
      <c r="I213">
        <v>0</v>
      </c>
      <c r="J213">
        <v>0</v>
      </c>
      <c r="K213">
        <v>0</v>
      </c>
      <c r="L213">
        <v>0</v>
      </c>
      <c r="M213">
        <v>1584217</v>
      </c>
      <c r="N213" t="s">
        <v>53</v>
      </c>
      <c r="O213" t="s">
        <v>54</v>
      </c>
      <c r="P213">
        <v>0</v>
      </c>
      <c r="Q213">
        <v>0</v>
      </c>
      <c r="R213">
        <v>0</v>
      </c>
      <c r="S213">
        <v>0</v>
      </c>
      <c r="T213">
        <v>0</v>
      </c>
      <c r="U213">
        <v>0</v>
      </c>
      <c r="V213">
        <v>0</v>
      </c>
      <c r="W213">
        <v>0</v>
      </c>
      <c r="X213">
        <v>0</v>
      </c>
      <c r="Y213">
        <v>0</v>
      </c>
      <c r="Z213">
        <v>0</v>
      </c>
      <c r="AA213">
        <v>0</v>
      </c>
      <c r="AB213">
        <v>0</v>
      </c>
    </row>
    <row r="214" spans="1:28" x14ac:dyDescent="0.3">
      <c r="A214" s="1">
        <v>44079</v>
      </c>
      <c r="B214" t="s">
        <v>40</v>
      </c>
      <c r="C214">
        <v>39</v>
      </c>
      <c r="D214">
        <v>0</v>
      </c>
      <c r="E214">
        <v>0</v>
      </c>
      <c r="F214">
        <v>0</v>
      </c>
      <c r="G214">
        <v>0</v>
      </c>
      <c r="H214">
        <v>0</v>
      </c>
      <c r="I214">
        <v>0</v>
      </c>
      <c r="J214">
        <v>0</v>
      </c>
      <c r="K214">
        <v>0</v>
      </c>
      <c r="L214">
        <v>0</v>
      </c>
      <c r="M214">
        <v>1088116</v>
      </c>
      <c r="N214" t="s">
        <v>41</v>
      </c>
      <c r="O214" t="s">
        <v>42</v>
      </c>
      <c r="P214">
        <v>0</v>
      </c>
      <c r="Q214">
        <v>0</v>
      </c>
      <c r="R214">
        <v>0</v>
      </c>
      <c r="S214">
        <v>0</v>
      </c>
      <c r="T214">
        <v>0</v>
      </c>
      <c r="U214">
        <v>0</v>
      </c>
      <c r="V214">
        <v>0</v>
      </c>
      <c r="W214">
        <v>0</v>
      </c>
      <c r="X214">
        <v>0</v>
      </c>
      <c r="Y214">
        <v>0</v>
      </c>
      <c r="Z214">
        <v>0</v>
      </c>
      <c r="AA214">
        <v>0</v>
      </c>
      <c r="AB214">
        <v>0</v>
      </c>
    </row>
    <row r="215" spans="1:28" x14ac:dyDescent="0.3">
      <c r="A215" s="1">
        <v>44079</v>
      </c>
      <c r="B215" t="s">
        <v>57</v>
      </c>
      <c r="C215">
        <v>38</v>
      </c>
      <c r="D215">
        <v>0</v>
      </c>
      <c r="E215">
        <v>0</v>
      </c>
      <c r="F215">
        <v>0</v>
      </c>
      <c r="G215">
        <v>0</v>
      </c>
      <c r="H215">
        <v>0</v>
      </c>
      <c r="I215">
        <v>0</v>
      </c>
      <c r="J215">
        <v>0</v>
      </c>
      <c r="K215">
        <v>0</v>
      </c>
      <c r="L215">
        <v>0</v>
      </c>
      <c r="M215">
        <v>2053730</v>
      </c>
      <c r="N215" t="s">
        <v>58</v>
      </c>
      <c r="O215" t="s">
        <v>59</v>
      </c>
      <c r="P215">
        <v>0</v>
      </c>
      <c r="Q215">
        <v>0</v>
      </c>
      <c r="R215">
        <v>0</v>
      </c>
      <c r="S215">
        <v>0</v>
      </c>
      <c r="T215">
        <v>0</v>
      </c>
      <c r="U215">
        <v>0</v>
      </c>
      <c r="V215">
        <v>0</v>
      </c>
      <c r="W215">
        <v>0</v>
      </c>
      <c r="X215">
        <v>0</v>
      </c>
      <c r="Y215">
        <v>0</v>
      </c>
      <c r="Z215">
        <v>0</v>
      </c>
      <c r="AA215">
        <v>0</v>
      </c>
      <c r="AB215">
        <v>0</v>
      </c>
    </row>
    <row r="216" spans="1:28" x14ac:dyDescent="0.3">
      <c r="A216" s="1">
        <v>44079</v>
      </c>
      <c r="B216" t="s">
        <v>43</v>
      </c>
      <c r="C216">
        <v>16</v>
      </c>
      <c r="D216">
        <v>0</v>
      </c>
      <c r="E216">
        <v>0</v>
      </c>
      <c r="F216">
        <v>0</v>
      </c>
      <c r="G216">
        <v>0</v>
      </c>
      <c r="H216">
        <v>0</v>
      </c>
      <c r="I216">
        <v>0</v>
      </c>
      <c r="J216">
        <v>0</v>
      </c>
      <c r="K216">
        <v>0</v>
      </c>
      <c r="L216">
        <v>0</v>
      </c>
      <c r="M216">
        <v>389818</v>
      </c>
      <c r="N216" t="s">
        <v>44</v>
      </c>
      <c r="O216" t="s">
        <v>45</v>
      </c>
      <c r="P216">
        <v>0</v>
      </c>
      <c r="Q216">
        <v>0</v>
      </c>
      <c r="R216">
        <v>0</v>
      </c>
      <c r="S216">
        <v>0</v>
      </c>
      <c r="T216">
        <v>0</v>
      </c>
      <c r="U216">
        <v>0</v>
      </c>
      <c r="V216">
        <v>0</v>
      </c>
      <c r="W216">
        <v>0</v>
      </c>
      <c r="X216">
        <v>0</v>
      </c>
      <c r="Y216">
        <v>0</v>
      </c>
      <c r="Z216">
        <v>0</v>
      </c>
      <c r="AA216">
        <v>0</v>
      </c>
      <c r="AB216">
        <v>0</v>
      </c>
    </row>
    <row r="217" spans="1:28" x14ac:dyDescent="0.3">
      <c r="A217" s="1">
        <v>44079</v>
      </c>
      <c r="B217" t="s">
        <v>37</v>
      </c>
      <c r="C217">
        <v>12</v>
      </c>
      <c r="D217">
        <v>0</v>
      </c>
      <c r="E217">
        <v>0</v>
      </c>
      <c r="F217">
        <v>0</v>
      </c>
      <c r="G217">
        <v>0</v>
      </c>
      <c r="H217">
        <v>0</v>
      </c>
      <c r="I217">
        <v>0</v>
      </c>
      <c r="J217">
        <v>0</v>
      </c>
      <c r="K217">
        <v>0</v>
      </c>
      <c r="L217">
        <v>0</v>
      </c>
      <c r="M217">
        <v>201285</v>
      </c>
      <c r="N217" t="s">
        <v>38</v>
      </c>
      <c r="O217" t="s">
        <v>39</v>
      </c>
      <c r="P217">
        <v>0</v>
      </c>
      <c r="Q217">
        <v>0</v>
      </c>
      <c r="R217">
        <v>0</v>
      </c>
      <c r="S217">
        <v>0</v>
      </c>
      <c r="T217">
        <v>0</v>
      </c>
      <c r="U217">
        <v>0</v>
      </c>
      <c r="V217">
        <v>0</v>
      </c>
      <c r="W217">
        <v>0</v>
      </c>
      <c r="X217">
        <v>0</v>
      </c>
      <c r="Y217">
        <v>0</v>
      </c>
      <c r="Z217">
        <v>0</v>
      </c>
      <c r="AA217">
        <v>0</v>
      </c>
      <c r="AB217">
        <v>0</v>
      </c>
    </row>
    <row r="218" spans="1:28" x14ac:dyDescent="0.3">
      <c r="A218" s="1">
        <v>44079</v>
      </c>
      <c r="B218" t="s">
        <v>78</v>
      </c>
      <c r="C218">
        <v>12</v>
      </c>
      <c r="D218">
        <v>0</v>
      </c>
      <c r="E218">
        <v>0</v>
      </c>
      <c r="F218">
        <v>0</v>
      </c>
      <c r="G218">
        <v>0</v>
      </c>
      <c r="H218">
        <v>0</v>
      </c>
      <c r="I218">
        <v>0</v>
      </c>
      <c r="J218">
        <v>0</v>
      </c>
      <c r="K218">
        <v>0</v>
      </c>
      <c r="L218">
        <v>0</v>
      </c>
      <c r="M218">
        <v>1014069</v>
      </c>
      <c r="N218" t="s">
        <v>79</v>
      </c>
      <c r="O218" t="s">
        <v>80</v>
      </c>
      <c r="P218">
        <v>0</v>
      </c>
      <c r="Q218">
        <v>0</v>
      </c>
      <c r="R218">
        <v>0</v>
      </c>
      <c r="S218">
        <v>0</v>
      </c>
      <c r="T218">
        <v>0</v>
      </c>
      <c r="U218">
        <v>0</v>
      </c>
      <c r="V218">
        <v>0</v>
      </c>
      <c r="W218">
        <v>0</v>
      </c>
      <c r="X218">
        <v>0</v>
      </c>
      <c r="Y218">
        <v>0</v>
      </c>
      <c r="Z218">
        <v>0</v>
      </c>
      <c r="AA218">
        <v>0</v>
      </c>
      <c r="AB218">
        <v>0</v>
      </c>
    </row>
    <row r="219" spans="1:28" x14ac:dyDescent="0.3">
      <c r="A219" s="1">
        <v>44079</v>
      </c>
      <c r="B219" t="s">
        <v>46</v>
      </c>
      <c r="C219">
        <v>11</v>
      </c>
      <c r="D219">
        <v>0</v>
      </c>
      <c r="E219">
        <v>0</v>
      </c>
      <c r="F219">
        <v>0</v>
      </c>
      <c r="G219">
        <v>0</v>
      </c>
      <c r="H219">
        <v>0</v>
      </c>
      <c r="I219">
        <v>0</v>
      </c>
      <c r="J219">
        <v>0</v>
      </c>
      <c r="K219">
        <v>0</v>
      </c>
      <c r="L219">
        <v>0</v>
      </c>
      <c r="M219">
        <v>445875</v>
      </c>
      <c r="N219" t="s">
        <v>47</v>
      </c>
      <c r="O219" t="s">
        <v>48</v>
      </c>
      <c r="P219">
        <v>0</v>
      </c>
      <c r="Q219">
        <v>0</v>
      </c>
      <c r="R219">
        <v>0</v>
      </c>
      <c r="S219">
        <v>0</v>
      </c>
      <c r="T219">
        <v>0</v>
      </c>
      <c r="U219">
        <v>0</v>
      </c>
      <c r="V219">
        <v>0</v>
      </c>
      <c r="W219">
        <v>0</v>
      </c>
      <c r="X219">
        <v>0</v>
      </c>
      <c r="Y219">
        <v>0</v>
      </c>
      <c r="Z219">
        <v>0</v>
      </c>
      <c r="AA219">
        <v>0</v>
      </c>
      <c r="AB219">
        <v>0</v>
      </c>
    </row>
    <row r="220" spans="1:28" x14ac:dyDescent="0.3">
      <c r="A220" s="1">
        <v>44079</v>
      </c>
      <c r="B220" t="s">
        <v>69</v>
      </c>
      <c r="C220">
        <v>9</v>
      </c>
      <c r="D220">
        <v>0</v>
      </c>
      <c r="E220">
        <v>0</v>
      </c>
      <c r="F220">
        <v>0</v>
      </c>
      <c r="G220">
        <v>0</v>
      </c>
      <c r="H220">
        <v>0</v>
      </c>
      <c r="I220">
        <v>0</v>
      </c>
      <c r="J220">
        <v>0</v>
      </c>
      <c r="K220">
        <v>0</v>
      </c>
      <c r="L220">
        <v>0</v>
      </c>
      <c r="M220">
        <v>1772040</v>
      </c>
      <c r="N220" t="s">
        <v>70</v>
      </c>
      <c r="O220" t="s">
        <v>71</v>
      </c>
      <c r="P220">
        <v>0</v>
      </c>
      <c r="Q220">
        <v>0</v>
      </c>
      <c r="R220">
        <v>0</v>
      </c>
      <c r="S220">
        <v>0</v>
      </c>
      <c r="T220">
        <v>0</v>
      </c>
      <c r="U220">
        <v>0</v>
      </c>
      <c r="V220">
        <v>0</v>
      </c>
      <c r="W220">
        <v>0</v>
      </c>
      <c r="X220">
        <v>0</v>
      </c>
      <c r="Y220">
        <v>0</v>
      </c>
      <c r="Z220">
        <v>0</v>
      </c>
      <c r="AA220">
        <v>0</v>
      </c>
      <c r="AB220">
        <v>0</v>
      </c>
    </row>
    <row r="221" spans="1:28" x14ac:dyDescent="0.3">
      <c r="A221" s="1">
        <v>44079</v>
      </c>
      <c r="B221" t="s">
        <v>63</v>
      </c>
      <c r="C221">
        <v>6</v>
      </c>
      <c r="D221">
        <v>0</v>
      </c>
      <c r="E221">
        <v>0</v>
      </c>
      <c r="F221">
        <v>0</v>
      </c>
      <c r="G221">
        <v>0</v>
      </c>
      <c r="H221">
        <v>0</v>
      </c>
      <c r="I221">
        <v>0</v>
      </c>
      <c r="J221">
        <v>0</v>
      </c>
      <c r="K221">
        <v>0</v>
      </c>
      <c r="L221">
        <v>0</v>
      </c>
      <c r="M221">
        <v>140995</v>
      </c>
      <c r="N221" t="s">
        <v>64</v>
      </c>
      <c r="O221" t="s">
        <v>65</v>
      </c>
      <c r="P221">
        <v>0</v>
      </c>
      <c r="Q221">
        <v>0</v>
      </c>
      <c r="R221">
        <v>0</v>
      </c>
      <c r="S221">
        <v>0</v>
      </c>
      <c r="T221">
        <v>0</v>
      </c>
      <c r="U221">
        <v>0</v>
      </c>
      <c r="V221">
        <v>0</v>
      </c>
      <c r="W221">
        <v>0</v>
      </c>
      <c r="X221">
        <v>0</v>
      </c>
      <c r="Y221">
        <v>0</v>
      </c>
      <c r="Z221">
        <v>0</v>
      </c>
      <c r="AA221">
        <v>0</v>
      </c>
      <c r="AB221">
        <v>0</v>
      </c>
    </row>
    <row r="222" spans="1:28" x14ac:dyDescent="0.3">
      <c r="A222" s="1">
        <v>44079</v>
      </c>
      <c r="B222" t="s">
        <v>66</v>
      </c>
      <c r="C222">
        <v>5</v>
      </c>
      <c r="D222">
        <v>0</v>
      </c>
      <c r="E222">
        <v>0</v>
      </c>
      <c r="F222">
        <v>0</v>
      </c>
      <c r="G222">
        <v>0</v>
      </c>
      <c r="H222">
        <v>0</v>
      </c>
      <c r="I222">
        <v>0</v>
      </c>
      <c r="J222">
        <v>0</v>
      </c>
      <c r="K222">
        <v>0</v>
      </c>
      <c r="L222">
        <v>0</v>
      </c>
      <c r="M222">
        <v>1413766</v>
      </c>
      <c r="N222" t="s">
        <v>67</v>
      </c>
      <c r="O222" t="s">
        <v>68</v>
      </c>
      <c r="P222">
        <v>0</v>
      </c>
      <c r="Q222">
        <v>0</v>
      </c>
      <c r="R222">
        <v>0</v>
      </c>
      <c r="S222">
        <v>0</v>
      </c>
      <c r="T222">
        <v>0</v>
      </c>
      <c r="U222">
        <v>0</v>
      </c>
      <c r="V222">
        <v>0</v>
      </c>
      <c r="W222">
        <v>0</v>
      </c>
      <c r="X222">
        <v>0</v>
      </c>
      <c r="Y222">
        <v>0</v>
      </c>
      <c r="Z222">
        <v>0</v>
      </c>
      <c r="AA222">
        <v>0</v>
      </c>
      <c r="AB222">
        <v>0</v>
      </c>
    </row>
    <row r="223" spans="1:28" x14ac:dyDescent="0.3">
      <c r="A223" s="1">
        <v>44079</v>
      </c>
      <c r="B223" t="s">
        <v>93</v>
      </c>
      <c r="C223">
        <v>4</v>
      </c>
      <c r="D223">
        <v>0</v>
      </c>
      <c r="E223">
        <v>0</v>
      </c>
      <c r="F223">
        <v>0</v>
      </c>
      <c r="G223">
        <v>0</v>
      </c>
      <c r="H223">
        <v>0</v>
      </c>
      <c r="I223">
        <v>0</v>
      </c>
      <c r="J223">
        <v>0</v>
      </c>
      <c r="K223">
        <v>0</v>
      </c>
      <c r="L223">
        <v>0</v>
      </c>
      <c r="M223">
        <v>1238556</v>
      </c>
      <c r="N223" t="s">
        <v>94</v>
      </c>
      <c r="O223" t="s">
        <v>95</v>
      </c>
      <c r="P223">
        <v>0</v>
      </c>
      <c r="Q223">
        <v>0</v>
      </c>
      <c r="R223">
        <v>0</v>
      </c>
      <c r="S223">
        <v>0</v>
      </c>
      <c r="T223">
        <v>0</v>
      </c>
      <c r="U223">
        <v>0</v>
      </c>
      <c r="V223">
        <v>0</v>
      </c>
      <c r="W223">
        <v>0</v>
      </c>
      <c r="X223">
        <v>0</v>
      </c>
      <c r="Y223">
        <v>0</v>
      </c>
      <c r="Z223">
        <v>0</v>
      </c>
      <c r="AA223">
        <v>0</v>
      </c>
      <c r="AB223">
        <v>0</v>
      </c>
    </row>
    <row r="224" spans="1:28" x14ac:dyDescent="0.3">
      <c r="A224" s="1">
        <v>44079</v>
      </c>
      <c r="B224" t="s">
        <v>75</v>
      </c>
      <c r="C224">
        <v>3</v>
      </c>
      <c r="D224">
        <v>0</v>
      </c>
      <c r="E224">
        <v>0</v>
      </c>
      <c r="F224">
        <v>0</v>
      </c>
      <c r="G224">
        <v>0</v>
      </c>
      <c r="H224">
        <v>0</v>
      </c>
      <c r="I224">
        <v>0</v>
      </c>
      <c r="J224">
        <v>0</v>
      </c>
      <c r="K224">
        <v>0</v>
      </c>
      <c r="L224">
        <v>0</v>
      </c>
      <c r="M224">
        <v>745788</v>
      </c>
      <c r="N224" t="s">
        <v>76</v>
      </c>
      <c r="O224" t="s">
        <v>77</v>
      </c>
      <c r="P224">
        <v>0</v>
      </c>
      <c r="Q224">
        <v>0</v>
      </c>
      <c r="R224">
        <v>0</v>
      </c>
      <c r="S224">
        <v>0</v>
      </c>
      <c r="T224">
        <v>0</v>
      </c>
      <c r="U224">
        <v>0</v>
      </c>
      <c r="V224">
        <v>0</v>
      </c>
      <c r="W224">
        <v>0</v>
      </c>
      <c r="X224">
        <v>0</v>
      </c>
      <c r="Y224">
        <v>0</v>
      </c>
      <c r="Z224">
        <v>0</v>
      </c>
      <c r="AA224">
        <v>0</v>
      </c>
      <c r="AB224">
        <v>0</v>
      </c>
    </row>
    <row r="225" spans="1:28" x14ac:dyDescent="0.3">
      <c r="A225" s="1">
        <v>44079</v>
      </c>
      <c r="B225" t="s">
        <v>84</v>
      </c>
      <c r="C225">
        <v>3</v>
      </c>
      <c r="D225">
        <v>0</v>
      </c>
      <c r="E225">
        <v>0</v>
      </c>
      <c r="F225">
        <v>0</v>
      </c>
      <c r="G225">
        <v>0</v>
      </c>
      <c r="H225">
        <v>0</v>
      </c>
      <c r="I225">
        <v>0</v>
      </c>
      <c r="J225">
        <v>0</v>
      </c>
      <c r="K225">
        <v>0</v>
      </c>
      <c r="L225">
        <v>0</v>
      </c>
      <c r="M225">
        <v>1242889</v>
      </c>
      <c r="N225" t="s">
        <v>85</v>
      </c>
      <c r="O225" t="s">
        <v>86</v>
      </c>
      <c r="P225">
        <v>0</v>
      </c>
      <c r="Q225">
        <v>0</v>
      </c>
      <c r="R225">
        <v>0</v>
      </c>
      <c r="S225">
        <v>0</v>
      </c>
      <c r="T225">
        <v>0</v>
      </c>
      <c r="U225">
        <v>0</v>
      </c>
      <c r="V225">
        <v>0</v>
      </c>
      <c r="W225">
        <v>0</v>
      </c>
      <c r="X225">
        <v>0</v>
      </c>
      <c r="Y225">
        <v>0</v>
      </c>
      <c r="Z225">
        <v>0</v>
      </c>
      <c r="AA225">
        <v>0</v>
      </c>
      <c r="AB225">
        <v>0</v>
      </c>
    </row>
    <row r="226" spans="1:28" x14ac:dyDescent="0.3">
      <c r="A226" s="1">
        <v>44079</v>
      </c>
      <c r="B226" t="s">
        <v>234</v>
      </c>
      <c r="C226">
        <v>3</v>
      </c>
      <c r="D226">
        <v>0</v>
      </c>
      <c r="E226">
        <v>0</v>
      </c>
      <c r="F226">
        <v>0</v>
      </c>
      <c r="G226">
        <v>0</v>
      </c>
      <c r="H226">
        <v>0</v>
      </c>
      <c r="I226">
        <v>0</v>
      </c>
      <c r="J226">
        <v>0</v>
      </c>
      <c r="K226">
        <v>0</v>
      </c>
      <c r="L226">
        <v>0</v>
      </c>
      <c r="M226">
        <v>2243506</v>
      </c>
      <c r="N226" t="s">
        <v>235</v>
      </c>
      <c r="O226" t="s">
        <v>236</v>
      </c>
      <c r="P226">
        <v>0</v>
      </c>
      <c r="Q226">
        <v>0</v>
      </c>
      <c r="R226">
        <v>0</v>
      </c>
      <c r="S226">
        <v>0</v>
      </c>
      <c r="T226">
        <v>0</v>
      </c>
      <c r="U226">
        <v>0</v>
      </c>
      <c r="V226">
        <v>0</v>
      </c>
      <c r="W226">
        <v>0</v>
      </c>
      <c r="X226">
        <v>0</v>
      </c>
      <c r="Y226">
        <v>0</v>
      </c>
      <c r="Z226">
        <v>0</v>
      </c>
      <c r="AA226">
        <v>0</v>
      </c>
      <c r="AB226">
        <v>0</v>
      </c>
    </row>
    <row r="227" spans="1:28" x14ac:dyDescent="0.3">
      <c r="A227" s="1">
        <v>44079</v>
      </c>
      <c r="B227" t="s">
        <v>99</v>
      </c>
      <c r="C227">
        <v>2</v>
      </c>
      <c r="D227">
        <v>0</v>
      </c>
      <c r="E227">
        <v>0</v>
      </c>
      <c r="F227">
        <v>0</v>
      </c>
      <c r="G227">
        <v>0</v>
      </c>
      <c r="H227">
        <v>0</v>
      </c>
      <c r="I227">
        <v>0</v>
      </c>
      <c r="J227">
        <v>0</v>
      </c>
      <c r="K227">
        <v>0</v>
      </c>
      <c r="L227">
        <v>0</v>
      </c>
      <c r="M227">
        <v>193744</v>
      </c>
      <c r="N227" t="s">
        <v>100</v>
      </c>
      <c r="O227" t="s">
        <v>101</v>
      </c>
      <c r="P227">
        <v>0</v>
      </c>
      <c r="Q227">
        <v>0</v>
      </c>
      <c r="R227">
        <v>0</v>
      </c>
      <c r="S227">
        <v>0</v>
      </c>
      <c r="T227">
        <v>0</v>
      </c>
      <c r="U227">
        <v>0</v>
      </c>
      <c r="V227">
        <v>0</v>
      </c>
      <c r="W227">
        <v>0</v>
      </c>
      <c r="X227">
        <v>0</v>
      </c>
      <c r="Y227">
        <v>0</v>
      </c>
      <c r="Z227">
        <v>0</v>
      </c>
      <c r="AA227">
        <v>0</v>
      </c>
      <c r="AB227">
        <v>0</v>
      </c>
    </row>
    <row r="228" spans="1:28" x14ac:dyDescent="0.3">
      <c r="A228" s="1">
        <v>44079</v>
      </c>
      <c r="B228" t="s">
        <v>72</v>
      </c>
      <c r="C228">
        <v>2</v>
      </c>
      <c r="D228">
        <v>0</v>
      </c>
      <c r="E228">
        <v>0</v>
      </c>
      <c r="F228">
        <v>0</v>
      </c>
      <c r="G228">
        <v>0</v>
      </c>
      <c r="H228">
        <v>0</v>
      </c>
      <c r="I228">
        <v>0</v>
      </c>
      <c r="J228">
        <v>0</v>
      </c>
      <c r="K228">
        <v>0</v>
      </c>
      <c r="L228">
        <v>0</v>
      </c>
      <c r="M228">
        <v>514792</v>
      </c>
      <c r="N228" t="s">
        <v>73</v>
      </c>
      <c r="O228" t="s">
        <v>74</v>
      </c>
      <c r="P228">
        <v>0</v>
      </c>
      <c r="Q228">
        <v>0</v>
      </c>
      <c r="R228">
        <v>0</v>
      </c>
      <c r="S228">
        <v>0</v>
      </c>
      <c r="T228">
        <v>0</v>
      </c>
      <c r="U228">
        <v>0</v>
      </c>
      <c r="V228">
        <v>0</v>
      </c>
      <c r="W228">
        <v>0</v>
      </c>
      <c r="X228">
        <v>0</v>
      </c>
      <c r="Y228">
        <v>0</v>
      </c>
      <c r="Z228">
        <v>0</v>
      </c>
      <c r="AA228">
        <v>0</v>
      </c>
      <c r="AB228">
        <v>0</v>
      </c>
    </row>
    <row r="229" spans="1:28" x14ac:dyDescent="0.3">
      <c r="A229" s="1">
        <v>44079</v>
      </c>
      <c r="B229" t="s">
        <v>129</v>
      </c>
      <c r="C229">
        <v>2</v>
      </c>
      <c r="D229">
        <v>0</v>
      </c>
      <c r="E229">
        <v>0</v>
      </c>
      <c r="F229">
        <v>0</v>
      </c>
      <c r="G229">
        <v>0</v>
      </c>
      <c r="H229">
        <v>0</v>
      </c>
      <c r="I229">
        <v>0</v>
      </c>
      <c r="J229">
        <v>0</v>
      </c>
      <c r="K229">
        <v>0</v>
      </c>
      <c r="L229">
        <v>0</v>
      </c>
      <c r="M229">
        <v>1140999</v>
      </c>
      <c r="N229" t="s">
        <v>130</v>
      </c>
      <c r="O229" t="s">
        <v>131</v>
      </c>
      <c r="P229">
        <v>0</v>
      </c>
      <c r="Q229">
        <v>0</v>
      </c>
      <c r="R229">
        <v>0</v>
      </c>
      <c r="S229">
        <v>0</v>
      </c>
      <c r="T229">
        <v>0</v>
      </c>
      <c r="U229">
        <v>0</v>
      </c>
      <c r="V229">
        <v>0</v>
      </c>
      <c r="W229">
        <v>0</v>
      </c>
      <c r="X229">
        <v>0</v>
      </c>
      <c r="Y229">
        <v>0</v>
      </c>
      <c r="Z229">
        <v>0</v>
      </c>
      <c r="AA229">
        <v>0</v>
      </c>
      <c r="AB229">
        <v>0</v>
      </c>
    </row>
    <row r="230" spans="1:28" x14ac:dyDescent="0.3">
      <c r="A230" s="1">
        <v>44079</v>
      </c>
      <c r="B230" t="s">
        <v>138</v>
      </c>
      <c r="C230">
        <v>2</v>
      </c>
      <c r="D230">
        <v>0</v>
      </c>
      <c r="E230">
        <v>0</v>
      </c>
      <c r="F230">
        <v>0</v>
      </c>
      <c r="G230">
        <v>0</v>
      </c>
      <c r="H230">
        <v>0</v>
      </c>
      <c r="I230">
        <v>0</v>
      </c>
      <c r="J230">
        <v>0</v>
      </c>
      <c r="K230">
        <v>0</v>
      </c>
      <c r="L230">
        <v>0</v>
      </c>
      <c r="M230">
        <v>1578665</v>
      </c>
      <c r="N230" t="s">
        <v>139</v>
      </c>
      <c r="O230" t="s">
        <v>140</v>
      </c>
      <c r="P230">
        <v>0</v>
      </c>
      <c r="Q230">
        <v>0</v>
      </c>
      <c r="R230">
        <v>0</v>
      </c>
      <c r="S230">
        <v>0</v>
      </c>
      <c r="T230">
        <v>0</v>
      </c>
      <c r="U230">
        <v>0</v>
      </c>
      <c r="V230">
        <v>0</v>
      </c>
      <c r="W230">
        <v>0</v>
      </c>
      <c r="X230">
        <v>0</v>
      </c>
      <c r="Y230">
        <v>0</v>
      </c>
      <c r="Z230">
        <v>0</v>
      </c>
      <c r="AA230">
        <v>0</v>
      </c>
      <c r="AB230">
        <v>0</v>
      </c>
    </row>
    <row r="231" spans="1:28" x14ac:dyDescent="0.3">
      <c r="A231" s="1">
        <v>44079</v>
      </c>
      <c r="B231" t="s">
        <v>159</v>
      </c>
      <c r="C231">
        <v>2</v>
      </c>
      <c r="D231">
        <v>0</v>
      </c>
      <c r="E231">
        <v>0</v>
      </c>
      <c r="F231">
        <v>0</v>
      </c>
      <c r="G231">
        <v>0</v>
      </c>
      <c r="H231">
        <v>0</v>
      </c>
      <c r="I231">
        <v>0</v>
      </c>
      <c r="J231">
        <v>0</v>
      </c>
      <c r="K231">
        <v>0</v>
      </c>
      <c r="L231">
        <v>0</v>
      </c>
      <c r="M231">
        <v>2029250</v>
      </c>
      <c r="N231" t="s">
        <v>160</v>
      </c>
      <c r="O231" t="s">
        <v>161</v>
      </c>
      <c r="P231">
        <v>0</v>
      </c>
      <c r="Q231">
        <v>0</v>
      </c>
      <c r="R231">
        <v>0</v>
      </c>
      <c r="S231">
        <v>0</v>
      </c>
      <c r="T231">
        <v>0</v>
      </c>
      <c r="U231">
        <v>0</v>
      </c>
      <c r="V231">
        <v>0</v>
      </c>
      <c r="W231">
        <v>0</v>
      </c>
      <c r="X231">
        <v>0</v>
      </c>
      <c r="Y231">
        <v>0</v>
      </c>
      <c r="Z231">
        <v>0</v>
      </c>
      <c r="AA231">
        <v>0</v>
      </c>
      <c r="AB231">
        <v>0</v>
      </c>
    </row>
    <row r="232" spans="1:28" x14ac:dyDescent="0.3">
      <c r="A232" s="1">
        <v>44079</v>
      </c>
      <c r="B232" t="s">
        <v>120</v>
      </c>
      <c r="C232">
        <v>1</v>
      </c>
      <c r="D232">
        <v>0</v>
      </c>
      <c r="E232">
        <v>0</v>
      </c>
      <c r="F232">
        <v>0</v>
      </c>
      <c r="G232">
        <v>0</v>
      </c>
      <c r="H232">
        <v>0</v>
      </c>
      <c r="I232">
        <v>0</v>
      </c>
      <c r="J232">
        <v>0</v>
      </c>
      <c r="K232">
        <v>0</v>
      </c>
      <c r="L232">
        <v>0</v>
      </c>
      <c r="M232">
        <v>154911</v>
      </c>
      <c r="N232" t="s">
        <v>121</v>
      </c>
      <c r="O232" t="s">
        <v>122</v>
      </c>
      <c r="P232">
        <v>0</v>
      </c>
      <c r="Q232">
        <v>0</v>
      </c>
      <c r="R232">
        <v>0</v>
      </c>
      <c r="S232">
        <v>0</v>
      </c>
      <c r="T232">
        <v>0</v>
      </c>
      <c r="U232">
        <v>0</v>
      </c>
      <c r="V232">
        <v>0</v>
      </c>
      <c r="W232">
        <v>0</v>
      </c>
      <c r="X232">
        <v>0</v>
      </c>
      <c r="Y232">
        <v>0</v>
      </c>
      <c r="Z232">
        <v>0</v>
      </c>
      <c r="AA232">
        <v>0</v>
      </c>
      <c r="AB232">
        <v>0</v>
      </c>
    </row>
    <row r="233" spans="1:28" x14ac:dyDescent="0.3">
      <c r="A233" s="1">
        <v>44079</v>
      </c>
      <c r="B233" t="s">
        <v>123</v>
      </c>
      <c r="C233">
        <v>1</v>
      </c>
      <c r="D233">
        <v>0</v>
      </c>
      <c r="E233">
        <v>0</v>
      </c>
      <c r="F233">
        <v>0</v>
      </c>
      <c r="G233">
        <v>0</v>
      </c>
      <c r="H233">
        <v>0</v>
      </c>
      <c r="I233">
        <v>0</v>
      </c>
      <c r="J233">
        <v>0</v>
      </c>
      <c r="K233">
        <v>0</v>
      </c>
      <c r="L233">
        <v>0</v>
      </c>
      <c r="M233">
        <v>213636</v>
      </c>
      <c r="N233" t="s">
        <v>124</v>
      </c>
      <c r="O233" t="s">
        <v>125</v>
      </c>
      <c r="P233">
        <v>0</v>
      </c>
      <c r="Q233">
        <v>0</v>
      </c>
      <c r="R233">
        <v>0</v>
      </c>
      <c r="S233">
        <v>0</v>
      </c>
      <c r="T233">
        <v>0</v>
      </c>
      <c r="U233">
        <v>0</v>
      </c>
      <c r="V233">
        <v>0</v>
      </c>
      <c r="W233">
        <v>0</v>
      </c>
      <c r="X233">
        <v>0</v>
      </c>
      <c r="Y233">
        <v>0</v>
      </c>
      <c r="Z233">
        <v>0</v>
      </c>
      <c r="AA233">
        <v>0</v>
      </c>
      <c r="AB233">
        <v>0</v>
      </c>
    </row>
    <row r="234" spans="1:28" x14ac:dyDescent="0.3">
      <c r="A234" s="1">
        <v>44079</v>
      </c>
      <c r="B234" t="s">
        <v>126</v>
      </c>
      <c r="C234">
        <v>1</v>
      </c>
      <c r="D234">
        <v>0</v>
      </c>
      <c r="E234">
        <v>0</v>
      </c>
      <c r="F234">
        <v>0</v>
      </c>
      <c r="G234">
        <v>0</v>
      </c>
      <c r="H234">
        <v>0</v>
      </c>
      <c r="I234">
        <v>0</v>
      </c>
      <c r="J234">
        <v>0</v>
      </c>
      <c r="K234">
        <v>0</v>
      </c>
      <c r="L234">
        <v>0</v>
      </c>
      <c r="M234">
        <v>318676</v>
      </c>
      <c r="N234" t="s">
        <v>127</v>
      </c>
      <c r="O234" t="s">
        <v>128</v>
      </c>
      <c r="P234">
        <v>0</v>
      </c>
      <c r="Q234">
        <v>0</v>
      </c>
      <c r="R234">
        <v>0</v>
      </c>
      <c r="S234">
        <v>0</v>
      </c>
      <c r="T234">
        <v>0</v>
      </c>
      <c r="U234">
        <v>0</v>
      </c>
      <c r="V234">
        <v>0</v>
      </c>
      <c r="W234">
        <v>0</v>
      </c>
      <c r="X234">
        <v>0</v>
      </c>
      <c r="Y234">
        <v>0</v>
      </c>
      <c r="Z234">
        <v>0</v>
      </c>
      <c r="AA234">
        <v>0</v>
      </c>
      <c r="AB234">
        <v>0</v>
      </c>
    </row>
    <row r="235" spans="1:28" x14ac:dyDescent="0.3">
      <c r="A235" s="1">
        <v>44079</v>
      </c>
      <c r="B235" t="s">
        <v>273</v>
      </c>
      <c r="C235">
        <v>1</v>
      </c>
      <c r="D235">
        <v>0</v>
      </c>
      <c r="E235">
        <v>0</v>
      </c>
      <c r="F235">
        <v>0</v>
      </c>
      <c r="G235">
        <v>0</v>
      </c>
      <c r="H235">
        <v>0</v>
      </c>
      <c r="I235">
        <v>0</v>
      </c>
      <c r="J235">
        <v>0</v>
      </c>
      <c r="K235">
        <v>0</v>
      </c>
      <c r="L235">
        <v>0</v>
      </c>
      <c r="M235">
        <v>473774</v>
      </c>
      <c r="N235" t="s">
        <v>274</v>
      </c>
      <c r="O235" t="s">
        <v>275</v>
      </c>
      <c r="P235">
        <v>0</v>
      </c>
      <c r="Q235">
        <v>0</v>
      </c>
      <c r="R235">
        <v>0</v>
      </c>
      <c r="S235">
        <v>0</v>
      </c>
      <c r="T235">
        <v>0</v>
      </c>
      <c r="U235">
        <v>0</v>
      </c>
      <c r="V235">
        <v>0</v>
      </c>
      <c r="W235">
        <v>0</v>
      </c>
      <c r="X235">
        <v>0</v>
      </c>
      <c r="Y235">
        <v>0</v>
      </c>
      <c r="Z235">
        <v>0</v>
      </c>
      <c r="AA235">
        <v>0</v>
      </c>
      <c r="AB235">
        <v>0</v>
      </c>
    </row>
    <row r="236" spans="1:28" x14ac:dyDescent="0.3">
      <c r="A236" s="1">
        <v>44079</v>
      </c>
      <c r="B236" t="s">
        <v>102</v>
      </c>
      <c r="C236">
        <v>1</v>
      </c>
      <c r="D236">
        <v>0</v>
      </c>
      <c r="E236">
        <v>0</v>
      </c>
      <c r="F236">
        <v>0</v>
      </c>
      <c r="G236">
        <v>0</v>
      </c>
      <c r="H236">
        <v>0</v>
      </c>
      <c r="I236">
        <v>0</v>
      </c>
      <c r="J236">
        <v>0</v>
      </c>
      <c r="K236">
        <v>0</v>
      </c>
      <c r="L236">
        <v>0</v>
      </c>
      <c r="M236">
        <v>742098</v>
      </c>
      <c r="N236" t="s">
        <v>103</v>
      </c>
      <c r="O236" t="s">
        <v>104</v>
      </c>
      <c r="P236">
        <v>0</v>
      </c>
      <c r="Q236">
        <v>0</v>
      </c>
      <c r="R236">
        <v>0</v>
      </c>
      <c r="S236">
        <v>0</v>
      </c>
      <c r="T236">
        <v>0</v>
      </c>
      <c r="U236">
        <v>0</v>
      </c>
      <c r="V236">
        <v>0</v>
      </c>
      <c r="W236">
        <v>0</v>
      </c>
      <c r="X236">
        <v>0</v>
      </c>
      <c r="Y236">
        <v>0</v>
      </c>
      <c r="Z236">
        <v>0</v>
      </c>
      <c r="AA236">
        <v>0</v>
      </c>
      <c r="AB236">
        <v>0</v>
      </c>
    </row>
    <row r="237" spans="1:28" x14ac:dyDescent="0.3">
      <c r="A237" s="1">
        <v>44079</v>
      </c>
      <c r="B237" t="s">
        <v>135</v>
      </c>
      <c r="C237">
        <v>1</v>
      </c>
      <c r="D237">
        <v>0</v>
      </c>
      <c r="E237">
        <v>0</v>
      </c>
      <c r="F237">
        <v>0</v>
      </c>
      <c r="G237">
        <v>0</v>
      </c>
      <c r="H237">
        <v>0</v>
      </c>
      <c r="I237">
        <v>0</v>
      </c>
      <c r="J237">
        <v>0</v>
      </c>
      <c r="K237">
        <v>0</v>
      </c>
      <c r="L237">
        <v>0</v>
      </c>
      <c r="M237">
        <v>1538097</v>
      </c>
      <c r="N237" t="s">
        <v>136</v>
      </c>
      <c r="O237" t="s">
        <v>137</v>
      </c>
      <c r="P237">
        <v>0</v>
      </c>
      <c r="Q237">
        <v>0</v>
      </c>
      <c r="R237">
        <v>0</v>
      </c>
      <c r="S237">
        <v>0</v>
      </c>
      <c r="T237">
        <v>0</v>
      </c>
      <c r="U237">
        <v>0</v>
      </c>
      <c r="V237">
        <v>0</v>
      </c>
      <c r="W237">
        <v>0</v>
      </c>
      <c r="X237">
        <v>0</v>
      </c>
      <c r="Y237">
        <v>0</v>
      </c>
      <c r="Z237">
        <v>0</v>
      </c>
      <c r="AA237">
        <v>0</v>
      </c>
      <c r="AB237">
        <v>0</v>
      </c>
    </row>
    <row r="238" spans="1:28" x14ac:dyDescent="0.3">
      <c r="A238" s="1">
        <v>44079</v>
      </c>
      <c r="B238" t="s">
        <v>204</v>
      </c>
      <c r="C238">
        <v>1</v>
      </c>
      <c r="D238">
        <v>0</v>
      </c>
      <c r="E238">
        <v>0</v>
      </c>
      <c r="F238">
        <v>0</v>
      </c>
      <c r="G238">
        <v>0</v>
      </c>
      <c r="H238">
        <v>0</v>
      </c>
      <c r="I238">
        <v>0</v>
      </c>
      <c r="J238">
        <v>0</v>
      </c>
      <c r="K238">
        <v>0</v>
      </c>
      <c r="L238">
        <v>0</v>
      </c>
      <c r="M238">
        <v>1868351</v>
      </c>
      <c r="N238" t="s">
        <v>205</v>
      </c>
      <c r="O238" t="s">
        <v>206</v>
      </c>
      <c r="P238">
        <v>0</v>
      </c>
      <c r="Q238">
        <v>0</v>
      </c>
      <c r="R238">
        <v>0</v>
      </c>
      <c r="S238">
        <v>0</v>
      </c>
      <c r="T238">
        <v>0</v>
      </c>
      <c r="U238">
        <v>0</v>
      </c>
      <c r="V238">
        <v>0</v>
      </c>
      <c r="W238">
        <v>0</v>
      </c>
      <c r="X238">
        <v>0</v>
      </c>
      <c r="Y238">
        <v>0</v>
      </c>
      <c r="Z238">
        <v>0</v>
      </c>
      <c r="AA238">
        <v>0</v>
      </c>
      <c r="AB238">
        <v>0</v>
      </c>
    </row>
    <row r="239" spans="1:28" x14ac:dyDescent="0.3">
      <c r="A239" s="1">
        <v>44079</v>
      </c>
      <c r="B239" t="s">
        <v>147</v>
      </c>
      <c r="C239">
        <v>1</v>
      </c>
      <c r="D239">
        <v>0</v>
      </c>
      <c r="E239">
        <v>0</v>
      </c>
      <c r="F239">
        <v>0</v>
      </c>
      <c r="G239">
        <v>0</v>
      </c>
      <c r="H239">
        <v>0</v>
      </c>
      <c r="I239">
        <v>0</v>
      </c>
      <c r="J239">
        <v>0</v>
      </c>
      <c r="K239">
        <v>0</v>
      </c>
      <c r="L239">
        <v>0</v>
      </c>
      <c r="M239">
        <v>2075116</v>
      </c>
      <c r="N239" t="s">
        <v>148</v>
      </c>
      <c r="O239" t="s">
        <v>149</v>
      </c>
      <c r="P239">
        <v>0</v>
      </c>
      <c r="Q239">
        <v>0</v>
      </c>
      <c r="R239">
        <v>0</v>
      </c>
      <c r="S239">
        <v>0</v>
      </c>
      <c r="T239">
        <v>0</v>
      </c>
      <c r="U239">
        <v>0</v>
      </c>
      <c r="V239">
        <v>0</v>
      </c>
      <c r="W239">
        <v>0</v>
      </c>
      <c r="X239">
        <v>0</v>
      </c>
      <c r="Y239">
        <v>0</v>
      </c>
      <c r="Z239">
        <v>0</v>
      </c>
      <c r="AA239">
        <v>0</v>
      </c>
      <c r="AB239">
        <v>0</v>
      </c>
    </row>
    <row r="240" spans="1:28" x14ac:dyDescent="0.3">
      <c r="A240" s="1">
        <v>44079</v>
      </c>
      <c r="B240" t="s">
        <v>201</v>
      </c>
      <c r="C240">
        <v>1</v>
      </c>
      <c r="D240">
        <v>0</v>
      </c>
      <c r="E240">
        <v>0</v>
      </c>
      <c r="F240">
        <v>0</v>
      </c>
      <c r="G240">
        <v>0</v>
      </c>
      <c r="H240">
        <v>0</v>
      </c>
      <c r="I240">
        <v>0</v>
      </c>
      <c r="J240">
        <v>0</v>
      </c>
      <c r="K240">
        <v>0</v>
      </c>
      <c r="L240">
        <v>0</v>
      </c>
      <c r="M240">
        <v>2334633</v>
      </c>
      <c r="N240" t="s">
        <v>202</v>
      </c>
      <c r="O240" t="s">
        <v>203</v>
      </c>
      <c r="P240">
        <v>0</v>
      </c>
      <c r="Q240">
        <v>0</v>
      </c>
      <c r="R240">
        <v>0</v>
      </c>
      <c r="S240">
        <v>0</v>
      </c>
      <c r="T240">
        <v>0</v>
      </c>
      <c r="U240">
        <v>0</v>
      </c>
      <c r="V240">
        <v>0</v>
      </c>
      <c r="W240">
        <v>0</v>
      </c>
      <c r="X240">
        <v>0</v>
      </c>
      <c r="Y240">
        <v>0</v>
      </c>
      <c r="Z240">
        <v>0</v>
      </c>
      <c r="AA240">
        <v>0</v>
      </c>
      <c r="AB240">
        <v>0</v>
      </c>
    </row>
    <row r="241" spans="1:28" x14ac:dyDescent="0.3">
      <c r="A241" s="1">
        <v>44080</v>
      </c>
      <c r="B241" t="s">
        <v>60</v>
      </c>
      <c r="C241">
        <v>13</v>
      </c>
      <c r="D241">
        <v>438</v>
      </c>
      <c r="E241">
        <v>0</v>
      </c>
      <c r="F241">
        <v>438</v>
      </c>
      <c r="G241">
        <v>2</v>
      </c>
      <c r="H241">
        <v>0</v>
      </c>
      <c r="I241">
        <v>78.84</v>
      </c>
      <c r="J241">
        <v>15.38</v>
      </c>
      <c r="K241">
        <v>606.46</v>
      </c>
      <c r="L241">
        <v>219</v>
      </c>
      <c r="M241">
        <v>748814</v>
      </c>
      <c r="N241" t="s">
        <v>61</v>
      </c>
      <c r="O241" t="s">
        <v>62</v>
      </c>
      <c r="P241">
        <v>2</v>
      </c>
      <c r="Q241">
        <v>0</v>
      </c>
      <c r="R241">
        <v>0</v>
      </c>
      <c r="S241">
        <v>0</v>
      </c>
      <c r="T241">
        <v>0</v>
      </c>
      <c r="U241">
        <v>0</v>
      </c>
      <c r="V241">
        <v>78.84</v>
      </c>
      <c r="W241">
        <v>0</v>
      </c>
      <c r="X241">
        <v>0</v>
      </c>
      <c r="Y241">
        <v>0</v>
      </c>
      <c r="Z241">
        <v>0</v>
      </c>
      <c r="AA241">
        <v>0</v>
      </c>
      <c r="AB241">
        <v>15.76</v>
      </c>
    </row>
    <row r="242" spans="1:28" x14ac:dyDescent="0.3">
      <c r="A242" s="1">
        <v>44080</v>
      </c>
      <c r="B242" t="s">
        <v>28</v>
      </c>
      <c r="C242">
        <v>118</v>
      </c>
      <c r="D242">
        <v>189</v>
      </c>
      <c r="E242">
        <v>0</v>
      </c>
      <c r="F242">
        <v>189</v>
      </c>
      <c r="G242">
        <v>1</v>
      </c>
      <c r="H242">
        <v>0</v>
      </c>
      <c r="I242">
        <v>28.35</v>
      </c>
      <c r="J242">
        <v>0.85</v>
      </c>
      <c r="K242">
        <v>24.03</v>
      </c>
      <c r="L242">
        <v>189</v>
      </c>
      <c r="M242">
        <v>314743</v>
      </c>
      <c r="N242" t="s">
        <v>29</v>
      </c>
      <c r="O242" t="s">
        <v>30</v>
      </c>
      <c r="P242">
        <v>1</v>
      </c>
      <c r="Q242">
        <v>0</v>
      </c>
      <c r="R242">
        <v>0</v>
      </c>
      <c r="S242">
        <v>0</v>
      </c>
      <c r="T242">
        <v>0</v>
      </c>
      <c r="U242">
        <v>0</v>
      </c>
      <c r="V242">
        <v>28.35</v>
      </c>
      <c r="W242">
        <v>0</v>
      </c>
      <c r="X242">
        <v>0</v>
      </c>
      <c r="Y242">
        <v>0</v>
      </c>
      <c r="Z242">
        <v>0</v>
      </c>
      <c r="AA242">
        <v>0</v>
      </c>
      <c r="AB242">
        <v>5.67</v>
      </c>
    </row>
    <row r="243" spans="1:28" x14ac:dyDescent="0.3">
      <c r="A243" s="1">
        <v>44080</v>
      </c>
      <c r="B243" t="s">
        <v>90</v>
      </c>
      <c r="C243">
        <v>4</v>
      </c>
      <c r="D243">
        <v>464.1</v>
      </c>
      <c r="E243">
        <v>0</v>
      </c>
      <c r="F243">
        <v>464.1</v>
      </c>
      <c r="G243">
        <v>3</v>
      </c>
      <c r="H243">
        <v>0</v>
      </c>
      <c r="I243">
        <v>13.92</v>
      </c>
      <c r="J243">
        <v>75</v>
      </c>
      <c r="K243">
        <v>348</v>
      </c>
      <c r="L243">
        <v>154.69999999999999</v>
      </c>
      <c r="M243">
        <v>136482</v>
      </c>
      <c r="N243" t="s">
        <v>91</v>
      </c>
      <c r="O243" t="s">
        <v>92</v>
      </c>
      <c r="P243">
        <v>3</v>
      </c>
      <c r="Q243">
        <v>0</v>
      </c>
      <c r="R243">
        <v>0</v>
      </c>
      <c r="S243">
        <v>0</v>
      </c>
      <c r="T243">
        <v>0</v>
      </c>
      <c r="U243">
        <v>0</v>
      </c>
      <c r="V243">
        <v>13.92</v>
      </c>
      <c r="W243">
        <v>0</v>
      </c>
      <c r="X243">
        <v>0</v>
      </c>
      <c r="Y243">
        <v>0</v>
      </c>
      <c r="Z243">
        <v>0</v>
      </c>
      <c r="AA243">
        <v>0</v>
      </c>
      <c r="AB243">
        <v>2.79</v>
      </c>
    </row>
    <row r="244" spans="1:28" x14ac:dyDescent="0.3">
      <c r="A244" s="1">
        <v>44080</v>
      </c>
      <c r="B244" t="s">
        <v>49</v>
      </c>
      <c r="C244">
        <v>42</v>
      </c>
      <c r="D244">
        <v>212</v>
      </c>
      <c r="E244">
        <v>0</v>
      </c>
      <c r="F244">
        <v>212</v>
      </c>
      <c r="G244">
        <v>1</v>
      </c>
      <c r="H244">
        <v>0</v>
      </c>
      <c r="I244">
        <v>6.36</v>
      </c>
      <c r="J244">
        <v>2.38</v>
      </c>
      <c r="K244">
        <v>15.14</v>
      </c>
      <c r="L244">
        <v>212</v>
      </c>
      <c r="M244">
        <v>725033</v>
      </c>
      <c r="N244" t="s">
        <v>50</v>
      </c>
      <c r="O244" t="s">
        <v>51</v>
      </c>
      <c r="P244">
        <v>1</v>
      </c>
      <c r="Q244">
        <v>0</v>
      </c>
      <c r="R244">
        <v>0</v>
      </c>
      <c r="S244">
        <v>0</v>
      </c>
      <c r="T244">
        <v>0</v>
      </c>
      <c r="U244">
        <v>0</v>
      </c>
      <c r="V244">
        <v>6.36</v>
      </c>
      <c r="W244">
        <v>0</v>
      </c>
      <c r="X244">
        <v>0</v>
      </c>
      <c r="Y244">
        <v>0</v>
      </c>
      <c r="Z244">
        <v>0</v>
      </c>
      <c r="AA244">
        <v>0</v>
      </c>
      <c r="AB244">
        <v>1.27</v>
      </c>
    </row>
    <row r="245" spans="1:28" x14ac:dyDescent="0.3">
      <c r="A245" s="1">
        <v>44080</v>
      </c>
      <c r="B245" t="s">
        <v>63</v>
      </c>
      <c r="C245">
        <v>10</v>
      </c>
      <c r="D245">
        <v>181.3</v>
      </c>
      <c r="E245">
        <v>0</v>
      </c>
      <c r="F245">
        <v>181.3</v>
      </c>
      <c r="G245">
        <v>1</v>
      </c>
      <c r="H245">
        <v>0</v>
      </c>
      <c r="I245">
        <v>5.44</v>
      </c>
      <c r="J245">
        <v>10</v>
      </c>
      <c r="K245">
        <v>54.4</v>
      </c>
      <c r="L245">
        <v>181.3</v>
      </c>
      <c r="M245">
        <v>140995</v>
      </c>
      <c r="N245" t="s">
        <v>64</v>
      </c>
      <c r="O245" t="s">
        <v>65</v>
      </c>
      <c r="P245">
        <v>1</v>
      </c>
      <c r="Q245">
        <v>0</v>
      </c>
      <c r="R245">
        <v>0</v>
      </c>
      <c r="S245">
        <v>0</v>
      </c>
      <c r="T245">
        <v>0</v>
      </c>
      <c r="U245">
        <v>0</v>
      </c>
      <c r="V245">
        <v>5.44</v>
      </c>
      <c r="W245">
        <v>0</v>
      </c>
      <c r="X245">
        <v>0</v>
      </c>
      <c r="Y245">
        <v>0</v>
      </c>
      <c r="Z245">
        <v>0</v>
      </c>
      <c r="AA245">
        <v>0</v>
      </c>
      <c r="AB245">
        <v>1.0900000000000001</v>
      </c>
    </row>
    <row r="246" spans="1:28" x14ac:dyDescent="0.3">
      <c r="A246" s="1">
        <v>44080</v>
      </c>
      <c r="B246" t="s">
        <v>87</v>
      </c>
      <c r="C246">
        <v>1</v>
      </c>
      <c r="D246">
        <v>139.30000000000001</v>
      </c>
      <c r="E246">
        <v>0</v>
      </c>
      <c r="F246">
        <v>139.30000000000001</v>
      </c>
      <c r="G246">
        <v>1</v>
      </c>
      <c r="H246">
        <v>0</v>
      </c>
      <c r="I246">
        <v>4.18</v>
      </c>
      <c r="J246">
        <v>100</v>
      </c>
      <c r="K246">
        <v>418</v>
      </c>
      <c r="L246">
        <v>139.30000000000001</v>
      </c>
      <c r="M246">
        <v>1519404</v>
      </c>
      <c r="N246" t="s">
        <v>88</v>
      </c>
      <c r="O246" t="s">
        <v>89</v>
      </c>
      <c r="P246">
        <v>1</v>
      </c>
      <c r="Q246">
        <v>0</v>
      </c>
      <c r="R246">
        <v>0</v>
      </c>
      <c r="S246">
        <v>0</v>
      </c>
      <c r="T246">
        <v>0</v>
      </c>
      <c r="U246">
        <v>0</v>
      </c>
      <c r="V246">
        <v>4.18</v>
      </c>
      <c r="W246">
        <v>0</v>
      </c>
      <c r="X246">
        <v>0</v>
      </c>
      <c r="Y246">
        <v>0</v>
      </c>
      <c r="Z246">
        <v>0</v>
      </c>
      <c r="AA246">
        <v>0</v>
      </c>
      <c r="AB246">
        <v>0.84</v>
      </c>
    </row>
    <row r="247" spans="1:28" x14ac:dyDescent="0.3">
      <c r="A247" s="1">
        <v>44080</v>
      </c>
      <c r="B247" t="s">
        <v>40</v>
      </c>
      <c r="C247">
        <v>76</v>
      </c>
      <c r="D247">
        <v>0</v>
      </c>
      <c r="E247">
        <v>0</v>
      </c>
      <c r="F247">
        <v>0</v>
      </c>
      <c r="G247">
        <v>0</v>
      </c>
      <c r="H247">
        <v>0</v>
      </c>
      <c r="I247">
        <v>0</v>
      </c>
      <c r="J247">
        <v>0</v>
      </c>
      <c r="K247">
        <v>0</v>
      </c>
      <c r="L247">
        <v>0</v>
      </c>
      <c r="M247">
        <v>1088116</v>
      </c>
      <c r="N247" t="s">
        <v>41</v>
      </c>
      <c r="O247" t="s">
        <v>42</v>
      </c>
      <c r="P247">
        <v>0</v>
      </c>
      <c r="Q247">
        <v>0</v>
      </c>
      <c r="R247">
        <v>0</v>
      </c>
      <c r="S247">
        <v>0</v>
      </c>
      <c r="T247">
        <v>0</v>
      </c>
      <c r="U247">
        <v>0</v>
      </c>
      <c r="V247">
        <v>0</v>
      </c>
      <c r="W247">
        <v>0</v>
      </c>
      <c r="X247">
        <v>0</v>
      </c>
      <c r="Y247">
        <v>0</v>
      </c>
      <c r="Z247">
        <v>0</v>
      </c>
      <c r="AA247">
        <v>0</v>
      </c>
      <c r="AB247">
        <v>0</v>
      </c>
    </row>
    <row r="248" spans="1:28" x14ac:dyDescent="0.3">
      <c r="A248" s="1">
        <v>44080</v>
      </c>
      <c r="B248" t="s">
        <v>52</v>
      </c>
      <c r="C248">
        <v>36</v>
      </c>
      <c r="D248">
        <v>0</v>
      </c>
      <c r="E248">
        <v>0</v>
      </c>
      <c r="F248">
        <v>0</v>
      </c>
      <c r="G248">
        <v>0</v>
      </c>
      <c r="H248">
        <v>0</v>
      </c>
      <c r="I248">
        <v>0</v>
      </c>
      <c r="J248">
        <v>0</v>
      </c>
      <c r="K248">
        <v>0</v>
      </c>
      <c r="L248">
        <v>0</v>
      </c>
      <c r="M248">
        <v>1584217</v>
      </c>
      <c r="N248" t="s">
        <v>53</v>
      </c>
      <c r="O248" t="s">
        <v>54</v>
      </c>
      <c r="P248">
        <v>0</v>
      </c>
      <c r="Q248">
        <v>0</v>
      </c>
      <c r="R248">
        <v>0</v>
      </c>
      <c r="S248">
        <v>0</v>
      </c>
      <c r="T248">
        <v>0</v>
      </c>
      <c r="U248">
        <v>0</v>
      </c>
      <c r="V248">
        <v>0</v>
      </c>
      <c r="W248">
        <v>0</v>
      </c>
      <c r="X248">
        <v>0</v>
      </c>
      <c r="Y248">
        <v>0</v>
      </c>
      <c r="Z248">
        <v>0</v>
      </c>
      <c r="AA248">
        <v>0</v>
      </c>
      <c r="AB248">
        <v>0</v>
      </c>
    </row>
    <row r="249" spans="1:28" x14ac:dyDescent="0.3">
      <c r="A249" s="1">
        <v>44080</v>
      </c>
      <c r="B249" t="s">
        <v>34</v>
      </c>
      <c r="C249">
        <v>30</v>
      </c>
      <c r="D249">
        <v>0</v>
      </c>
      <c r="E249">
        <v>0</v>
      </c>
      <c r="F249">
        <v>0</v>
      </c>
      <c r="G249">
        <v>0</v>
      </c>
      <c r="H249">
        <v>0</v>
      </c>
      <c r="I249">
        <v>0</v>
      </c>
      <c r="J249">
        <v>0</v>
      </c>
      <c r="K249">
        <v>0</v>
      </c>
      <c r="L249">
        <v>0</v>
      </c>
      <c r="M249">
        <v>2284878</v>
      </c>
      <c r="N249" t="s">
        <v>35</v>
      </c>
      <c r="O249" t="s">
        <v>36</v>
      </c>
      <c r="P249">
        <v>0</v>
      </c>
      <c r="Q249">
        <v>0</v>
      </c>
      <c r="R249">
        <v>0</v>
      </c>
      <c r="S249">
        <v>0</v>
      </c>
      <c r="T249">
        <v>0</v>
      </c>
      <c r="U249">
        <v>0</v>
      </c>
      <c r="V249">
        <v>0</v>
      </c>
      <c r="W249">
        <v>0</v>
      </c>
      <c r="X249">
        <v>0</v>
      </c>
      <c r="Y249">
        <v>0</v>
      </c>
      <c r="Z249">
        <v>0</v>
      </c>
      <c r="AA249">
        <v>0</v>
      </c>
      <c r="AB249">
        <v>0</v>
      </c>
    </row>
    <row r="250" spans="1:28" x14ac:dyDescent="0.3">
      <c r="A250" s="1">
        <v>44080</v>
      </c>
      <c r="B250" t="s">
        <v>37</v>
      </c>
      <c r="C250">
        <v>25</v>
      </c>
      <c r="D250">
        <v>0</v>
      </c>
      <c r="E250">
        <v>0</v>
      </c>
      <c r="F250">
        <v>0</v>
      </c>
      <c r="G250">
        <v>0</v>
      </c>
      <c r="H250">
        <v>0</v>
      </c>
      <c r="I250">
        <v>0</v>
      </c>
      <c r="J250">
        <v>0</v>
      </c>
      <c r="K250">
        <v>0</v>
      </c>
      <c r="L250">
        <v>0</v>
      </c>
      <c r="M250">
        <v>201285</v>
      </c>
      <c r="N250" t="s">
        <v>38</v>
      </c>
      <c r="O250" t="s">
        <v>39</v>
      </c>
      <c r="P250">
        <v>0</v>
      </c>
      <c r="Q250">
        <v>0</v>
      </c>
      <c r="R250">
        <v>0</v>
      </c>
      <c r="S250">
        <v>0</v>
      </c>
      <c r="T250">
        <v>0</v>
      </c>
      <c r="U250">
        <v>0</v>
      </c>
      <c r="V250">
        <v>0</v>
      </c>
      <c r="W250">
        <v>0</v>
      </c>
      <c r="X250">
        <v>0</v>
      </c>
      <c r="Y250">
        <v>0</v>
      </c>
      <c r="Z250">
        <v>0</v>
      </c>
      <c r="AA250">
        <v>0</v>
      </c>
      <c r="AB250">
        <v>0</v>
      </c>
    </row>
    <row r="251" spans="1:28" x14ac:dyDescent="0.3">
      <c r="A251" s="1">
        <v>44080</v>
      </c>
      <c r="B251" t="s">
        <v>55</v>
      </c>
      <c r="C251">
        <v>21</v>
      </c>
      <c r="D251">
        <v>0</v>
      </c>
      <c r="E251">
        <v>0</v>
      </c>
      <c r="F251">
        <v>0</v>
      </c>
      <c r="G251">
        <v>0</v>
      </c>
      <c r="H251">
        <v>0</v>
      </c>
      <c r="I251">
        <v>0</v>
      </c>
      <c r="J251">
        <v>0</v>
      </c>
      <c r="K251">
        <v>0</v>
      </c>
      <c r="L251">
        <v>0</v>
      </c>
      <c r="M251">
        <v>1773960</v>
      </c>
      <c r="N251" t="s">
        <v>35</v>
      </c>
      <c r="O251" t="s">
        <v>56</v>
      </c>
      <c r="P251">
        <v>0</v>
      </c>
      <c r="Q251">
        <v>0</v>
      </c>
      <c r="R251">
        <v>0</v>
      </c>
      <c r="S251">
        <v>0</v>
      </c>
      <c r="T251">
        <v>0</v>
      </c>
      <c r="U251">
        <v>0</v>
      </c>
      <c r="V251">
        <v>0</v>
      </c>
      <c r="W251">
        <v>0</v>
      </c>
      <c r="X251">
        <v>0</v>
      </c>
      <c r="Y251">
        <v>0</v>
      </c>
      <c r="Z251">
        <v>0</v>
      </c>
      <c r="AA251">
        <v>0</v>
      </c>
      <c r="AB251">
        <v>0</v>
      </c>
    </row>
    <row r="252" spans="1:28" x14ac:dyDescent="0.3">
      <c r="A252" s="1">
        <v>44080</v>
      </c>
      <c r="B252" t="s">
        <v>43</v>
      </c>
      <c r="C252">
        <v>20</v>
      </c>
      <c r="D252">
        <v>0</v>
      </c>
      <c r="E252">
        <v>0</v>
      </c>
      <c r="F252">
        <v>0</v>
      </c>
      <c r="G252">
        <v>0</v>
      </c>
      <c r="H252">
        <v>0</v>
      </c>
      <c r="I252">
        <v>0</v>
      </c>
      <c r="J252">
        <v>0</v>
      </c>
      <c r="K252">
        <v>0</v>
      </c>
      <c r="L252">
        <v>0</v>
      </c>
      <c r="M252">
        <v>389818</v>
      </c>
      <c r="N252" t="s">
        <v>44</v>
      </c>
      <c r="O252" t="s">
        <v>45</v>
      </c>
      <c r="P252">
        <v>0</v>
      </c>
      <c r="Q252">
        <v>0</v>
      </c>
      <c r="R252">
        <v>0</v>
      </c>
      <c r="S252">
        <v>0</v>
      </c>
      <c r="T252">
        <v>0</v>
      </c>
      <c r="U252">
        <v>0</v>
      </c>
      <c r="V252">
        <v>0</v>
      </c>
      <c r="W252">
        <v>0</v>
      </c>
      <c r="X252">
        <v>0</v>
      </c>
      <c r="Y252">
        <v>0</v>
      </c>
      <c r="Z252">
        <v>0</v>
      </c>
      <c r="AA252">
        <v>0</v>
      </c>
      <c r="AB252">
        <v>0</v>
      </c>
    </row>
    <row r="253" spans="1:28" x14ac:dyDescent="0.3">
      <c r="A253" s="1">
        <v>44080</v>
      </c>
      <c r="B253" t="s">
        <v>46</v>
      </c>
      <c r="C253">
        <v>10</v>
      </c>
      <c r="D253">
        <v>0</v>
      </c>
      <c r="E253">
        <v>0</v>
      </c>
      <c r="F253">
        <v>0</v>
      </c>
      <c r="G253">
        <v>0</v>
      </c>
      <c r="H253">
        <v>0</v>
      </c>
      <c r="I253">
        <v>0</v>
      </c>
      <c r="J253">
        <v>0</v>
      </c>
      <c r="K253">
        <v>0</v>
      </c>
      <c r="L253">
        <v>0</v>
      </c>
      <c r="M253">
        <v>445875</v>
      </c>
      <c r="N253" t="s">
        <v>47</v>
      </c>
      <c r="O253" t="s">
        <v>48</v>
      </c>
      <c r="P253">
        <v>0</v>
      </c>
      <c r="Q253">
        <v>0</v>
      </c>
      <c r="R253">
        <v>0</v>
      </c>
      <c r="S253">
        <v>0</v>
      </c>
      <c r="T253">
        <v>0</v>
      </c>
      <c r="U253">
        <v>0</v>
      </c>
      <c r="V253">
        <v>0</v>
      </c>
      <c r="W253">
        <v>0</v>
      </c>
      <c r="X253">
        <v>0</v>
      </c>
      <c r="Y253">
        <v>0</v>
      </c>
      <c r="Z253">
        <v>0</v>
      </c>
      <c r="AA253">
        <v>0</v>
      </c>
      <c r="AB253">
        <v>0</v>
      </c>
    </row>
    <row r="254" spans="1:28" x14ac:dyDescent="0.3">
      <c r="A254" s="1">
        <v>44080</v>
      </c>
      <c r="B254" t="s">
        <v>78</v>
      </c>
      <c r="C254">
        <v>10</v>
      </c>
      <c r="D254">
        <v>0</v>
      </c>
      <c r="E254">
        <v>0</v>
      </c>
      <c r="F254">
        <v>0</v>
      </c>
      <c r="G254">
        <v>0</v>
      </c>
      <c r="H254">
        <v>0</v>
      </c>
      <c r="I254">
        <v>0</v>
      </c>
      <c r="J254">
        <v>0</v>
      </c>
      <c r="K254">
        <v>0</v>
      </c>
      <c r="L254">
        <v>0</v>
      </c>
      <c r="M254">
        <v>1014069</v>
      </c>
      <c r="N254" t="s">
        <v>79</v>
      </c>
      <c r="O254" t="s">
        <v>80</v>
      </c>
      <c r="P254">
        <v>0</v>
      </c>
      <c r="Q254">
        <v>0</v>
      </c>
      <c r="R254">
        <v>0</v>
      </c>
      <c r="S254">
        <v>0</v>
      </c>
      <c r="T254">
        <v>0</v>
      </c>
      <c r="U254">
        <v>0</v>
      </c>
      <c r="V254">
        <v>0</v>
      </c>
      <c r="W254">
        <v>0</v>
      </c>
      <c r="X254">
        <v>0</v>
      </c>
      <c r="Y254">
        <v>0</v>
      </c>
      <c r="Z254">
        <v>0</v>
      </c>
      <c r="AA254">
        <v>0</v>
      </c>
      <c r="AB254">
        <v>0</v>
      </c>
    </row>
    <row r="255" spans="1:28" x14ac:dyDescent="0.3">
      <c r="A255" s="1">
        <v>44080</v>
      </c>
      <c r="B255" t="s">
        <v>69</v>
      </c>
      <c r="C255">
        <v>10</v>
      </c>
      <c r="D255">
        <v>0</v>
      </c>
      <c r="E255">
        <v>0</v>
      </c>
      <c r="F255">
        <v>0</v>
      </c>
      <c r="G255">
        <v>0</v>
      </c>
      <c r="H255">
        <v>0</v>
      </c>
      <c r="I255">
        <v>0</v>
      </c>
      <c r="J255">
        <v>0</v>
      </c>
      <c r="K255">
        <v>0</v>
      </c>
      <c r="L255">
        <v>0</v>
      </c>
      <c r="M255">
        <v>1772040</v>
      </c>
      <c r="N255" t="s">
        <v>70</v>
      </c>
      <c r="O255" t="s">
        <v>71</v>
      </c>
      <c r="P255">
        <v>0</v>
      </c>
      <c r="Q255">
        <v>0</v>
      </c>
      <c r="R255">
        <v>0</v>
      </c>
      <c r="S255">
        <v>0</v>
      </c>
      <c r="T255">
        <v>0</v>
      </c>
      <c r="U255">
        <v>0</v>
      </c>
      <c r="V255">
        <v>0</v>
      </c>
      <c r="W255">
        <v>0</v>
      </c>
      <c r="X255">
        <v>0</v>
      </c>
      <c r="Y255">
        <v>0</v>
      </c>
      <c r="Z255">
        <v>0</v>
      </c>
      <c r="AA255">
        <v>0</v>
      </c>
      <c r="AB255">
        <v>0</v>
      </c>
    </row>
    <row r="256" spans="1:28" x14ac:dyDescent="0.3">
      <c r="A256" s="1">
        <v>44080</v>
      </c>
      <c r="B256" t="s">
        <v>159</v>
      </c>
      <c r="C256">
        <v>6</v>
      </c>
      <c r="D256">
        <v>0</v>
      </c>
      <c r="E256">
        <v>0</v>
      </c>
      <c r="F256">
        <v>0</v>
      </c>
      <c r="G256">
        <v>0</v>
      </c>
      <c r="H256">
        <v>0</v>
      </c>
      <c r="I256">
        <v>0</v>
      </c>
      <c r="J256">
        <v>0</v>
      </c>
      <c r="K256">
        <v>0</v>
      </c>
      <c r="L256">
        <v>0</v>
      </c>
      <c r="M256">
        <v>2029250</v>
      </c>
      <c r="N256" t="s">
        <v>160</v>
      </c>
      <c r="O256" t="s">
        <v>161</v>
      </c>
      <c r="P256">
        <v>0</v>
      </c>
      <c r="Q256">
        <v>0</v>
      </c>
      <c r="R256">
        <v>0</v>
      </c>
      <c r="S256">
        <v>0</v>
      </c>
      <c r="T256">
        <v>0</v>
      </c>
      <c r="U256">
        <v>0</v>
      </c>
      <c r="V256">
        <v>0</v>
      </c>
      <c r="W256">
        <v>0</v>
      </c>
      <c r="X256">
        <v>0</v>
      </c>
      <c r="Y256">
        <v>0</v>
      </c>
      <c r="Z256">
        <v>0</v>
      </c>
      <c r="AA256">
        <v>0</v>
      </c>
      <c r="AB256">
        <v>0</v>
      </c>
    </row>
    <row r="257" spans="1:28" x14ac:dyDescent="0.3">
      <c r="A257" s="1">
        <v>44080</v>
      </c>
      <c r="B257" t="s">
        <v>234</v>
      </c>
      <c r="C257">
        <v>6</v>
      </c>
      <c r="D257">
        <v>0</v>
      </c>
      <c r="E257">
        <v>0</v>
      </c>
      <c r="F257">
        <v>0</v>
      </c>
      <c r="G257">
        <v>0</v>
      </c>
      <c r="H257">
        <v>0</v>
      </c>
      <c r="I257">
        <v>0</v>
      </c>
      <c r="J257">
        <v>0</v>
      </c>
      <c r="K257">
        <v>0</v>
      </c>
      <c r="L257">
        <v>0</v>
      </c>
      <c r="M257">
        <v>2243506</v>
      </c>
      <c r="N257" t="s">
        <v>235</v>
      </c>
      <c r="O257" t="s">
        <v>236</v>
      </c>
      <c r="P257">
        <v>0</v>
      </c>
      <c r="Q257">
        <v>0</v>
      </c>
      <c r="R257">
        <v>0</v>
      </c>
      <c r="S257">
        <v>0</v>
      </c>
      <c r="T257">
        <v>0</v>
      </c>
      <c r="U257">
        <v>0</v>
      </c>
      <c r="V257">
        <v>0</v>
      </c>
      <c r="W257">
        <v>0</v>
      </c>
      <c r="X257">
        <v>0</v>
      </c>
      <c r="Y257">
        <v>0</v>
      </c>
      <c r="Z257">
        <v>0</v>
      </c>
      <c r="AA257">
        <v>0</v>
      </c>
      <c r="AB257">
        <v>0</v>
      </c>
    </row>
    <row r="258" spans="1:28" x14ac:dyDescent="0.3">
      <c r="A258" s="1">
        <v>44080</v>
      </c>
      <c r="B258" t="s">
        <v>66</v>
      </c>
      <c r="C258">
        <v>5</v>
      </c>
      <c r="D258">
        <v>0</v>
      </c>
      <c r="E258">
        <v>0</v>
      </c>
      <c r="F258">
        <v>0</v>
      </c>
      <c r="G258">
        <v>0</v>
      </c>
      <c r="H258">
        <v>0</v>
      </c>
      <c r="I258">
        <v>0</v>
      </c>
      <c r="J258">
        <v>0</v>
      </c>
      <c r="K258">
        <v>0</v>
      </c>
      <c r="L258">
        <v>0</v>
      </c>
      <c r="M258">
        <v>1413766</v>
      </c>
      <c r="N258" t="s">
        <v>67</v>
      </c>
      <c r="O258" t="s">
        <v>68</v>
      </c>
      <c r="P258">
        <v>0</v>
      </c>
      <c r="Q258">
        <v>0</v>
      </c>
      <c r="R258">
        <v>0</v>
      </c>
      <c r="S258">
        <v>0</v>
      </c>
      <c r="T258">
        <v>0</v>
      </c>
      <c r="U258">
        <v>0</v>
      </c>
      <c r="V258">
        <v>0</v>
      </c>
      <c r="W258">
        <v>0</v>
      </c>
      <c r="X258">
        <v>0</v>
      </c>
      <c r="Y258">
        <v>0</v>
      </c>
      <c r="Z258">
        <v>0</v>
      </c>
      <c r="AA258">
        <v>0</v>
      </c>
      <c r="AB258">
        <v>0</v>
      </c>
    </row>
    <row r="259" spans="1:28" x14ac:dyDescent="0.3">
      <c r="A259" s="1">
        <v>44080</v>
      </c>
      <c r="B259" t="s">
        <v>57</v>
      </c>
      <c r="C259">
        <v>5</v>
      </c>
      <c r="D259">
        <v>0</v>
      </c>
      <c r="E259">
        <v>0</v>
      </c>
      <c r="F259">
        <v>0</v>
      </c>
      <c r="G259">
        <v>0</v>
      </c>
      <c r="H259">
        <v>0</v>
      </c>
      <c r="I259">
        <v>0</v>
      </c>
      <c r="J259">
        <v>0</v>
      </c>
      <c r="K259">
        <v>0</v>
      </c>
      <c r="L259">
        <v>0</v>
      </c>
      <c r="M259">
        <v>2053730</v>
      </c>
      <c r="N259" t="s">
        <v>58</v>
      </c>
      <c r="O259" t="s">
        <v>59</v>
      </c>
      <c r="P259">
        <v>0</v>
      </c>
      <c r="Q259">
        <v>0</v>
      </c>
      <c r="R259">
        <v>0</v>
      </c>
      <c r="S259">
        <v>0</v>
      </c>
      <c r="T259">
        <v>0</v>
      </c>
      <c r="U259">
        <v>0</v>
      </c>
      <c r="V259">
        <v>0</v>
      </c>
      <c r="W259">
        <v>0</v>
      </c>
      <c r="X259">
        <v>0</v>
      </c>
      <c r="Y259">
        <v>0</v>
      </c>
      <c r="Z259">
        <v>0</v>
      </c>
      <c r="AA259">
        <v>0</v>
      </c>
      <c r="AB259">
        <v>0</v>
      </c>
    </row>
    <row r="260" spans="1:28" x14ac:dyDescent="0.3">
      <c r="A260" s="1">
        <v>44080</v>
      </c>
      <c r="B260" t="s">
        <v>93</v>
      </c>
      <c r="C260">
        <v>4</v>
      </c>
      <c r="D260">
        <v>0</v>
      </c>
      <c r="E260">
        <v>0</v>
      </c>
      <c r="F260">
        <v>0</v>
      </c>
      <c r="G260">
        <v>0</v>
      </c>
      <c r="H260">
        <v>0</v>
      </c>
      <c r="I260">
        <v>0</v>
      </c>
      <c r="J260">
        <v>0</v>
      </c>
      <c r="K260">
        <v>0</v>
      </c>
      <c r="L260">
        <v>0</v>
      </c>
      <c r="M260">
        <v>1238556</v>
      </c>
      <c r="N260" t="s">
        <v>94</v>
      </c>
      <c r="O260" t="s">
        <v>95</v>
      </c>
      <c r="P260">
        <v>0</v>
      </c>
      <c r="Q260">
        <v>0</v>
      </c>
      <c r="R260">
        <v>0</v>
      </c>
      <c r="S260">
        <v>0</v>
      </c>
      <c r="T260">
        <v>0</v>
      </c>
      <c r="U260">
        <v>0</v>
      </c>
      <c r="V260">
        <v>0</v>
      </c>
      <c r="W260">
        <v>0</v>
      </c>
      <c r="X260">
        <v>0</v>
      </c>
      <c r="Y260">
        <v>0</v>
      </c>
      <c r="Z260">
        <v>0</v>
      </c>
      <c r="AA260">
        <v>0</v>
      </c>
      <c r="AB260">
        <v>0</v>
      </c>
    </row>
    <row r="261" spans="1:28" x14ac:dyDescent="0.3">
      <c r="A261" s="1">
        <v>44080</v>
      </c>
      <c r="B261" t="s">
        <v>72</v>
      </c>
      <c r="C261">
        <v>3</v>
      </c>
      <c r="D261">
        <v>0</v>
      </c>
      <c r="E261">
        <v>0</v>
      </c>
      <c r="F261">
        <v>0</v>
      </c>
      <c r="G261">
        <v>0</v>
      </c>
      <c r="H261">
        <v>0</v>
      </c>
      <c r="I261">
        <v>0</v>
      </c>
      <c r="J261">
        <v>0</v>
      </c>
      <c r="K261">
        <v>0</v>
      </c>
      <c r="L261">
        <v>0</v>
      </c>
      <c r="M261">
        <v>514792</v>
      </c>
      <c r="N261" t="s">
        <v>73</v>
      </c>
      <c r="O261" t="s">
        <v>74</v>
      </c>
      <c r="P261">
        <v>0</v>
      </c>
      <c r="Q261">
        <v>0</v>
      </c>
      <c r="R261">
        <v>0</v>
      </c>
      <c r="S261">
        <v>0</v>
      </c>
      <c r="T261">
        <v>0</v>
      </c>
      <c r="U261">
        <v>0</v>
      </c>
      <c r="V261">
        <v>0</v>
      </c>
      <c r="W261">
        <v>0</v>
      </c>
      <c r="X261">
        <v>0</v>
      </c>
      <c r="Y261">
        <v>0</v>
      </c>
      <c r="Z261">
        <v>0</v>
      </c>
      <c r="AA261">
        <v>0</v>
      </c>
      <c r="AB261">
        <v>0</v>
      </c>
    </row>
    <row r="262" spans="1:28" x14ac:dyDescent="0.3">
      <c r="A262" s="1">
        <v>44080</v>
      </c>
      <c r="B262" t="s">
        <v>75</v>
      </c>
      <c r="C262">
        <v>3</v>
      </c>
      <c r="D262">
        <v>0</v>
      </c>
      <c r="E262">
        <v>0</v>
      </c>
      <c r="F262">
        <v>0</v>
      </c>
      <c r="G262">
        <v>0</v>
      </c>
      <c r="H262">
        <v>0</v>
      </c>
      <c r="I262">
        <v>0</v>
      </c>
      <c r="J262">
        <v>0</v>
      </c>
      <c r="K262">
        <v>0</v>
      </c>
      <c r="L262">
        <v>0</v>
      </c>
      <c r="M262">
        <v>745788</v>
      </c>
      <c r="N262" t="s">
        <v>76</v>
      </c>
      <c r="O262" t="s">
        <v>77</v>
      </c>
      <c r="P262">
        <v>0</v>
      </c>
      <c r="Q262">
        <v>0</v>
      </c>
      <c r="R262">
        <v>0</v>
      </c>
      <c r="S262">
        <v>0</v>
      </c>
      <c r="T262">
        <v>0</v>
      </c>
      <c r="U262">
        <v>0</v>
      </c>
      <c r="V262">
        <v>0</v>
      </c>
      <c r="W262">
        <v>0</v>
      </c>
      <c r="X262">
        <v>0</v>
      </c>
      <c r="Y262">
        <v>0</v>
      </c>
      <c r="Z262">
        <v>0</v>
      </c>
      <c r="AA262">
        <v>0</v>
      </c>
      <c r="AB262">
        <v>0</v>
      </c>
    </row>
    <row r="263" spans="1:28" x14ac:dyDescent="0.3">
      <c r="A263" s="1">
        <v>44080</v>
      </c>
      <c r="B263" t="s">
        <v>84</v>
      </c>
      <c r="C263">
        <v>3</v>
      </c>
      <c r="D263">
        <v>0</v>
      </c>
      <c r="E263">
        <v>0</v>
      </c>
      <c r="F263">
        <v>0</v>
      </c>
      <c r="G263">
        <v>0</v>
      </c>
      <c r="H263">
        <v>0</v>
      </c>
      <c r="I263">
        <v>0</v>
      </c>
      <c r="J263">
        <v>0</v>
      </c>
      <c r="K263">
        <v>0</v>
      </c>
      <c r="L263">
        <v>0</v>
      </c>
      <c r="M263">
        <v>1242889</v>
      </c>
      <c r="N263" t="s">
        <v>85</v>
      </c>
      <c r="O263" t="s">
        <v>86</v>
      </c>
      <c r="P263">
        <v>0</v>
      </c>
      <c r="Q263">
        <v>0</v>
      </c>
      <c r="R263">
        <v>0</v>
      </c>
      <c r="S263">
        <v>0</v>
      </c>
      <c r="T263">
        <v>0</v>
      </c>
      <c r="U263">
        <v>0</v>
      </c>
      <c r="V263">
        <v>0</v>
      </c>
      <c r="W263">
        <v>0</v>
      </c>
      <c r="X263">
        <v>0</v>
      </c>
      <c r="Y263">
        <v>0</v>
      </c>
      <c r="Z263">
        <v>0</v>
      </c>
      <c r="AA263">
        <v>0</v>
      </c>
      <c r="AB263">
        <v>0</v>
      </c>
    </row>
    <row r="264" spans="1:28" x14ac:dyDescent="0.3">
      <c r="A264" s="1">
        <v>44080</v>
      </c>
      <c r="B264" t="s">
        <v>276</v>
      </c>
      <c r="C264">
        <v>3</v>
      </c>
      <c r="D264">
        <v>0</v>
      </c>
      <c r="E264">
        <v>0</v>
      </c>
      <c r="F264">
        <v>0</v>
      </c>
      <c r="G264">
        <v>0</v>
      </c>
      <c r="H264">
        <v>0</v>
      </c>
      <c r="I264">
        <v>0</v>
      </c>
      <c r="J264">
        <v>0</v>
      </c>
      <c r="K264">
        <v>0</v>
      </c>
      <c r="L264">
        <v>0</v>
      </c>
      <c r="M264">
        <v>1936146</v>
      </c>
      <c r="N264" t="s">
        <v>277</v>
      </c>
      <c r="O264" t="s">
        <v>278</v>
      </c>
      <c r="P264">
        <v>0</v>
      </c>
      <c r="Q264">
        <v>0</v>
      </c>
      <c r="R264">
        <v>0</v>
      </c>
      <c r="S264">
        <v>0</v>
      </c>
      <c r="T264">
        <v>0</v>
      </c>
      <c r="U264">
        <v>0</v>
      </c>
      <c r="V264">
        <v>0</v>
      </c>
      <c r="W264">
        <v>0</v>
      </c>
      <c r="X264">
        <v>0</v>
      </c>
      <c r="Y264">
        <v>0</v>
      </c>
      <c r="Z264">
        <v>0</v>
      </c>
      <c r="AA264">
        <v>0</v>
      </c>
      <c r="AB264">
        <v>0</v>
      </c>
    </row>
    <row r="265" spans="1:28" x14ac:dyDescent="0.3">
      <c r="A265" s="1">
        <v>44080</v>
      </c>
      <c r="B265" t="s">
        <v>120</v>
      </c>
      <c r="C265">
        <v>2</v>
      </c>
      <c r="D265">
        <v>0</v>
      </c>
      <c r="E265">
        <v>0</v>
      </c>
      <c r="F265">
        <v>0</v>
      </c>
      <c r="G265">
        <v>0</v>
      </c>
      <c r="H265">
        <v>0</v>
      </c>
      <c r="I265">
        <v>0</v>
      </c>
      <c r="J265">
        <v>0</v>
      </c>
      <c r="K265">
        <v>0</v>
      </c>
      <c r="L265">
        <v>0</v>
      </c>
      <c r="M265">
        <v>154911</v>
      </c>
      <c r="N265" t="s">
        <v>121</v>
      </c>
      <c r="O265" t="s">
        <v>122</v>
      </c>
      <c r="P265">
        <v>0</v>
      </c>
      <c r="Q265">
        <v>0</v>
      </c>
      <c r="R265">
        <v>0</v>
      </c>
      <c r="S265">
        <v>0</v>
      </c>
      <c r="T265">
        <v>0</v>
      </c>
      <c r="U265">
        <v>0</v>
      </c>
      <c r="V265">
        <v>0</v>
      </c>
      <c r="W265">
        <v>0</v>
      </c>
      <c r="X265">
        <v>0</v>
      </c>
      <c r="Y265">
        <v>0</v>
      </c>
      <c r="Z265">
        <v>0</v>
      </c>
      <c r="AA265">
        <v>0</v>
      </c>
      <c r="AB265">
        <v>0</v>
      </c>
    </row>
    <row r="266" spans="1:28" x14ac:dyDescent="0.3">
      <c r="A266" s="1">
        <v>44080</v>
      </c>
      <c r="B266" t="s">
        <v>123</v>
      </c>
      <c r="C266">
        <v>2</v>
      </c>
      <c r="D266">
        <v>0</v>
      </c>
      <c r="E266">
        <v>0</v>
      </c>
      <c r="F266">
        <v>0</v>
      </c>
      <c r="G266">
        <v>0</v>
      </c>
      <c r="H266">
        <v>0</v>
      </c>
      <c r="I266">
        <v>0</v>
      </c>
      <c r="J266">
        <v>0</v>
      </c>
      <c r="K266">
        <v>0</v>
      </c>
      <c r="L266">
        <v>0</v>
      </c>
      <c r="M266">
        <v>213636</v>
      </c>
      <c r="N266" t="s">
        <v>124</v>
      </c>
      <c r="O266" t="s">
        <v>125</v>
      </c>
      <c r="P266">
        <v>0</v>
      </c>
      <c r="Q266">
        <v>0</v>
      </c>
      <c r="R266">
        <v>0</v>
      </c>
      <c r="S266">
        <v>0</v>
      </c>
      <c r="T266">
        <v>0</v>
      </c>
      <c r="U266">
        <v>0</v>
      </c>
      <c r="V266">
        <v>0</v>
      </c>
      <c r="W266">
        <v>0</v>
      </c>
      <c r="X266">
        <v>0</v>
      </c>
      <c r="Y266">
        <v>0</v>
      </c>
      <c r="Z266">
        <v>0</v>
      </c>
      <c r="AA266">
        <v>0</v>
      </c>
      <c r="AB266">
        <v>0</v>
      </c>
    </row>
    <row r="267" spans="1:28" x14ac:dyDescent="0.3">
      <c r="A267" s="1">
        <v>44080</v>
      </c>
      <c r="B267" t="s">
        <v>102</v>
      </c>
      <c r="C267">
        <v>2</v>
      </c>
      <c r="D267">
        <v>0</v>
      </c>
      <c r="E267">
        <v>0</v>
      </c>
      <c r="F267">
        <v>0</v>
      </c>
      <c r="G267">
        <v>0</v>
      </c>
      <c r="H267">
        <v>0</v>
      </c>
      <c r="I267">
        <v>0</v>
      </c>
      <c r="J267">
        <v>0</v>
      </c>
      <c r="K267">
        <v>0</v>
      </c>
      <c r="L267">
        <v>0</v>
      </c>
      <c r="M267">
        <v>742098</v>
      </c>
      <c r="N267" t="s">
        <v>103</v>
      </c>
      <c r="O267" t="s">
        <v>104</v>
      </c>
      <c r="P267">
        <v>0</v>
      </c>
      <c r="Q267">
        <v>0</v>
      </c>
      <c r="R267">
        <v>0</v>
      </c>
      <c r="S267">
        <v>0</v>
      </c>
      <c r="T267">
        <v>0</v>
      </c>
      <c r="U267">
        <v>0</v>
      </c>
      <c r="V267">
        <v>0</v>
      </c>
      <c r="W267">
        <v>0</v>
      </c>
      <c r="X267">
        <v>0</v>
      </c>
      <c r="Y267">
        <v>0</v>
      </c>
      <c r="Z267">
        <v>0</v>
      </c>
      <c r="AA267">
        <v>0</v>
      </c>
      <c r="AB267">
        <v>0</v>
      </c>
    </row>
    <row r="268" spans="1:28" x14ac:dyDescent="0.3">
      <c r="A268" s="1">
        <v>44080</v>
      </c>
      <c r="B268" t="s">
        <v>129</v>
      </c>
      <c r="C268">
        <v>2</v>
      </c>
      <c r="D268">
        <v>0</v>
      </c>
      <c r="E268">
        <v>0</v>
      </c>
      <c r="F268">
        <v>0</v>
      </c>
      <c r="G268">
        <v>0</v>
      </c>
      <c r="H268">
        <v>0</v>
      </c>
      <c r="I268">
        <v>0</v>
      </c>
      <c r="J268">
        <v>0</v>
      </c>
      <c r="K268">
        <v>0</v>
      </c>
      <c r="L268">
        <v>0</v>
      </c>
      <c r="M268">
        <v>1140999</v>
      </c>
      <c r="N268" t="s">
        <v>130</v>
      </c>
      <c r="O268" t="s">
        <v>131</v>
      </c>
      <c r="P268">
        <v>0</v>
      </c>
      <c r="Q268">
        <v>0</v>
      </c>
      <c r="R268">
        <v>0</v>
      </c>
      <c r="S268">
        <v>0</v>
      </c>
      <c r="T268">
        <v>0</v>
      </c>
      <c r="U268">
        <v>0</v>
      </c>
      <c r="V268">
        <v>0</v>
      </c>
      <c r="W268">
        <v>0</v>
      </c>
      <c r="X268">
        <v>0</v>
      </c>
      <c r="Y268">
        <v>0</v>
      </c>
      <c r="Z268">
        <v>0</v>
      </c>
      <c r="AA268">
        <v>0</v>
      </c>
      <c r="AB268">
        <v>0</v>
      </c>
    </row>
    <row r="269" spans="1:28" x14ac:dyDescent="0.3">
      <c r="A269" s="1">
        <v>44080</v>
      </c>
      <c r="B269" t="s">
        <v>31</v>
      </c>
      <c r="C269">
        <v>2</v>
      </c>
      <c r="D269">
        <v>0</v>
      </c>
      <c r="E269">
        <v>0</v>
      </c>
      <c r="F269">
        <v>0</v>
      </c>
      <c r="G269">
        <v>0</v>
      </c>
      <c r="H269">
        <v>0</v>
      </c>
      <c r="I269">
        <v>0</v>
      </c>
      <c r="J269">
        <v>0</v>
      </c>
      <c r="K269">
        <v>0</v>
      </c>
      <c r="L269">
        <v>0</v>
      </c>
      <c r="M269">
        <v>1663605</v>
      </c>
      <c r="N269" t="s">
        <v>32</v>
      </c>
      <c r="O269" t="s">
        <v>33</v>
      </c>
      <c r="P269">
        <v>0</v>
      </c>
      <c r="Q269">
        <v>0</v>
      </c>
      <c r="R269">
        <v>0</v>
      </c>
      <c r="S269">
        <v>0</v>
      </c>
      <c r="T269">
        <v>0</v>
      </c>
      <c r="U269">
        <v>0</v>
      </c>
      <c r="V269">
        <v>0</v>
      </c>
      <c r="W269">
        <v>0</v>
      </c>
      <c r="X269">
        <v>0</v>
      </c>
      <c r="Y269">
        <v>0</v>
      </c>
      <c r="Z269">
        <v>0</v>
      </c>
      <c r="AA269">
        <v>0</v>
      </c>
      <c r="AB269">
        <v>0</v>
      </c>
    </row>
    <row r="270" spans="1:28" x14ac:dyDescent="0.3">
      <c r="A270" s="1">
        <v>44080</v>
      </c>
      <c r="B270" t="s">
        <v>177</v>
      </c>
      <c r="C270">
        <v>2</v>
      </c>
      <c r="D270">
        <v>0</v>
      </c>
      <c r="E270">
        <v>0</v>
      </c>
      <c r="F270">
        <v>0</v>
      </c>
      <c r="G270">
        <v>0</v>
      </c>
      <c r="H270">
        <v>0</v>
      </c>
      <c r="I270">
        <v>0</v>
      </c>
      <c r="J270">
        <v>0</v>
      </c>
      <c r="K270">
        <v>0</v>
      </c>
      <c r="L270">
        <v>0</v>
      </c>
      <c r="M270">
        <v>1869309</v>
      </c>
      <c r="N270" t="s">
        <v>178</v>
      </c>
      <c r="O270" t="s">
        <v>179</v>
      </c>
      <c r="P270">
        <v>0</v>
      </c>
      <c r="Q270">
        <v>0</v>
      </c>
      <c r="R270">
        <v>0</v>
      </c>
      <c r="S270">
        <v>0</v>
      </c>
      <c r="T270">
        <v>0</v>
      </c>
      <c r="U270">
        <v>0</v>
      </c>
      <c r="V270">
        <v>0</v>
      </c>
      <c r="W270">
        <v>0</v>
      </c>
      <c r="X270">
        <v>0</v>
      </c>
      <c r="Y270">
        <v>0</v>
      </c>
      <c r="Z270">
        <v>0</v>
      </c>
      <c r="AA270">
        <v>0</v>
      </c>
      <c r="AB270">
        <v>0</v>
      </c>
    </row>
    <row r="271" spans="1:28" x14ac:dyDescent="0.3">
      <c r="A271" s="1">
        <v>44080</v>
      </c>
      <c r="B271" t="s">
        <v>279</v>
      </c>
      <c r="C271">
        <v>2</v>
      </c>
      <c r="D271">
        <v>0</v>
      </c>
      <c r="E271">
        <v>0</v>
      </c>
      <c r="F271">
        <v>0</v>
      </c>
      <c r="G271">
        <v>0</v>
      </c>
      <c r="H271">
        <v>0</v>
      </c>
      <c r="I271">
        <v>0</v>
      </c>
      <c r="J271">
        <v>0</v>
      </c>
      <c r="K271">
        <v>0</v>
      </c>
      <c r="L271">
        <v>0</v>
      </c>
      <c r="M271">
        <v>2007343</v>
      </c>
      <c r="N271" t="s">
        <v>280</v>
      </c>
      <c r="O271" t="s">
        <v>281</v>
      </c>
      <c r="P271">
        <v>0</v>
      </c>
      <c r="Q271">
        <v>0</v>
      </c>
      <c r="R271">
        <v>0</v>
      </c>
      <c r="S271">
        <v>0</v>
      </c>
      <c r="T271">
        <v>0</v>
      </c>
      <c r="U271">
        <v>0</v>
      </c>
      <c r="V271">
        <v>0</v>
      </c>
      <c r="W271">
        <v>0</v>
      </c>
      <c r="X271">
        <v>0</v>
      </c>
      <c r="Y271">
        <v>0</v>
      </c>
      <c r="Z271">
        <v>0</v>
      </c>
      <c r="AA271">
        <v>0</v>
      </c>
      <c r="AB271">
        <v>0</v>
      </c>
    </row>
    <row r="272" spans="1:28" x14ac:dyDescent="0.3">
      <c r="A272" s="1">
        <v>44080</v>
      </c>
      <c r="B272" t="s">
        <v>249</v>
      </c>
      <c r="C272">
        <v>2</v>
      </c>
      <c r="D272">
        <v>0</v>
      </c>
      <c r="E272">
        <v>0</v>
      </c>
      <c r="F272">
        <v>0</v>
      </c>
      <c r="G272">
        <v>0</v>
      </c>
      <c r="H272">
        <v>0</v>
      </c>
      <c r="I272">
        <v>0</v>
      </c>
      <c r="J272">
        <v>0</v>
      </c>
      <c r="K272">
        <v>0</v>
      </c>
      <c r="L272">
        <v>0</v>
      </c>
      <c r="M272">
        <v>2159987</v>
      </c>
      <c r="N272" t="s">
        <v>250</v>
      </c>
      <c r="O272" t="s">
        <v>251</v>
      </c>
      <c r="P272">
        <v>0</v>
      </c>
      <c r="Q272">
        <v>0</v>
      </c>
      <c r="R272">
        <v>0</v>
      </c>
      <c r="S272">
        <v>0</v>
      </c>
      <c r="T272">
        <v>0</v>
      </c>
      <c r="U272">
        <v>0</v>
      </c>
      <c r="V272">
        <v>0</v>
      </c>
      <c r="W272">
        <v>0</v>
      </c>
      <c r="X272">
        <v>0</v>
      </c>
      <c r="Y272">
        <v>0</v>
      </c>
      <c r="Z272">
        <v>0</v>
      </c>
      <c r="AA272">
        <v>0</v>
      </c>
      <c r="AB272">
        <v>0</v>
      </c>
    </row>
    <row r="273" spans="1:28" x14ac:dyDescent="0.3">
      <c r="A273" s="1">
        <v>44080</v>
      </c>
      <c r="B273" t="s">
        <v>180</v>
      </c>
      <c r="C273">
        <v>2</v>
      </c>
      <c r="D273">
        <v>0</v>
      </c>
      <c r="E273">
        <v>0</v>
      </c>
      <c r="F273">
        <v>0</v>
      </c>
      <c r="G273">
        <v>0</v>
      </c>
      <c r="H273">
        <v>0</v>
      </c>
      <c r="I273">
        <v>0</v>
      </c>
      <c r="J273">
        <v>0</v>
      </c>
      <c r="K273">
        <v>0</v>
      </c>
      <c r="L273">
        <v>0</v>
      </c>
      <c r="M273">
        <v>2364026</v>
      </c>
      <c r="N273" t="s">
        <v>181</v>
      </c>
      <c r="O273" t="s">
        <v>182</v>
      </c>
      <c r="P273">
        <v>0</v>
      </c>
      <c r="Q273">
        <v>0</v>
      </c>
      <c r="R273">
        <v>0</v>
      </c>
      <c r="S273">
        <v>0</v>
      </c>
      <c r="T273">
        <v>0</v>
      </c>
      <c r="U273">
        <v>0</v>
      </c>
      <c r="V273">
        <v>0</v>
      </c>
      <c r="W273">
        <v>0</v>
      </c>
      <c r="X273">
        <v>0</v>
      </c>
      <c r="Y273">
        <v>0</v>
      </c>
      <c r="Z273">
        <v>0</v>
      </c>
      <c r="AA273">
        <v>0</v>
      </c>
      <c r="AB273">
        <v>0</v>
      </c>
    </row>
    <row r="274" spans="1:28" x14ac:dyDescent="0.3">
      <c r="A274" s="1">
        <v>44080</v>
      </c>
      <c r="B274" t="s">
        <v>126</v>
      </c>
      <c r="C274">
        <v>1</v>
      </c>
      <c r="D274">
        <v>0</v>
      </c>
      <c r="E274">
        <v>0</v>
      </c>
      <c r="F274">
        <v>0</v>
      </c>
      <c r="G274">
        <v>0</v>
      </c>
      <c r="H274">
        <v>0</v>
      </c>
      <c r="I274">
        <v>0</v>
      </c>
      <c r="J274">
        <v>0</v>
      </c>
      <c r="K274">
        <v>0</v>
      </c>
      <c r="L274">
        <v>0</v>
      </c>
      <c r="M274">
        <v>318676</v>
      </c>
      <c r="N274" t="s">
        <v>127</v>
      </c>
      <c r="O274" t="s">
        <v>128</v>
      </c>
      <c r="P274">
        <v>0</v>
      </c>
      <c r="Q274">
        <v>0</v>
      </c>
      <c r="R274">
        <v>0</v>
      </c>
      <c r="S274">
        <v>0</v>
      </c>
      <c r="T274">
        <v>0</v>
      </c>
      <c r="U274">
        <v>0</v>
      </c>
      <c r="V274">
        <v>0</v>
      </c>
      <c r="W274">
        <v>0</v>
      </c>
      <c r="X274">
        <v>0</v>
      </c>
      <c r="Y274">
        <v>0</v>
      </c>
      <c r="Z274">
        <v>0</v>
      </c>
      <c r="AA274">
        <v>0</v>
      </c>
      <c r="AB274">
        <v>0</v>
      </c>
    </row>
    <row r="275" spans="1:28" x14ac:dyDescent="0.3">
      <c r="A275" s="1">
        <v>44080</v>
      </c>
      <c r="B275" t="s">
        <v>81</v>
      </c>
      <c r="C275">
        <v>1</v>
      </c>
      <c r="D275">
        <v>0</v>
      </c>
      <c r="E275">
        <v>0</v>
      </c>
      <c r="F275">
        <v>0</v>
      </c>
      <c r="G275">
        <v>0</v>
      </c>
      <c r="H275">
        <v>0</v>
      </c>
      <c r="I275">
        <v>0</v>
      </c>
      <c r="J275">
        <v>0</v>
      </c>
      <c r="K275">
        <v>0</v>
      </c>
      <c r="L275">
        <v>0</v>
      </c>
      <c r="M275">
        <v>1225169</v>
      </c>
      <c r="N275" t="s">
        <v>82</v>
      </c>
      <c r="O275" t="s">
        <v>83</v>
      </c>
      <c r="P275">
        <v>0</v>
      </c>
      <c r="Q275">
        <v>0</v>
      </c>
      <c r="R275">
        <v>0</v>
      </c>
      <c r="S275">
        <v>0</v>
      </c>
      <c r="T275">
        <v>0</v>
      </c>
      <c r="U275">
        <v>0</v>
      </c>
      <c r="V275">
        <v>0</v>
      </c>
      <c r="W275">
        <v>0</v>
      </c>
      <c r="X275">
        <v>0</v>
      </c>
      <c r="Y275">
        <v>0</v>
      </c>
      <c r="Z275">
        <v>0</v>
      </c>
      <c r="AA275">
        <v>0</v>
      </c>
      <c r="AB275">
        <v>0</v>
      </c>
    </row>
    <row r="276" spans="1:28" x14ac:dyDescent="0.3">
      <c r="A276" s="1">
        <v>44080</v>
      </c>
      <c r="B276" t="s">
        <v>96</v>
      </c>
      <c r="C276">
        <v>1</v>
      </c>
      <c r="D276">
        <v>0</v>
      </c>
      <c r="E276">
        <v>0</v>
      </c>
      <c r="F276">
        <v>0</v>
      </c>
      <c r="G276">
        <v>0</v>
      </c>
      <c r="H276">
        <v>0</v>
      </c>
      <c r="I276">
        <v>0</v>
      </c>
      <c r="J276">
        <v>0</v>
      </c>
      <c r="K276">
        <v>0</v>
      </c>
      <c r="L276">
        <v>0</v>
      </c>
      <c r="M276">
        <v>1372745</v>
      </c>
      <c r="N276" t="s">
        <v>97</v>
      </c>
      <c r="O276" t="s">
        <v>98</v>
      </c>
      <c r="P276">
        <v>0</v>
      </c>
      <c r="Q276">
        <v>0</v>
      </c>
      <c r="R276">
        <v>0</v>
      </c>
      <c r="S276">
        <v>0</v>
      </c>
      <c r="T276">
        <v>0</v>
      </c>
      <c r="U276">
        <v>0</v>
      </c>
      <c r="V276">
        <v>0</v>
      </c>
      <c r="W276">
        <v>0</v>
      </c>
      <c r="X276">
        <v>0</v>
      </c>
      <c r="Y276">
        <v>0</v>
      </c>
      <c r="Z276">
        <v>0</v>
      </c>
      <c r="AA276">
        <v>0</v>
      </c>
      <c r="AB276">
        <v>0</v>
      </c>
    </row>
    <row r="277" spans="1:28" x14ac:dyDescent="0.3">
      <c r="A277" s="1">
        <v>44080</v>
      </c>
      <c r="B277" t="s">
        <v>138</v>
      </c>
      <c r="C277">
        <v>1</v>
      </c>
      <c r="D277">
        <v>0</v>
      </c>
      <c r="E277">
        <v>0</v>
      </c>
      <c r="F277">
        <v>0</v>
      </c>
      <c r="G277">
        <v>0</v>
      </c>
      <c r="H277">
        <v>0</v>
      </c>
      <c r="I277">
        <v>0</v>
      </c>
      <c r="J277">
        <v>0</v>
      </c>
      <c r="K277">
        <v>0</v>
      </c>
      <c r="L277">
        <v>0</v>
      </c>
      <c r="M277">
        <v>1578665</v>
      </c>
      <c r="N277" t="s">
        <v>139</v>
      </c>
      <c r="O277" t="s">
        <v>140</v>
      </c>
      <c r="P277">
        <v>0</v>
      </c>
      <c r="Q277">
        <v>0</v>
      </c>
      <c r="R277">
        <v>0</v>
      </c>
      <c r="S277">
        <v>0</v>
      </c>
      <c r="T277">
        <v>0</v>
      </c>
      <c r="U277">
        <v>0</v>
      </c>
      <c r="V277">
        <v>0</v>
      </c>
      <c r="W277">
        <v>0</v>
      </c>
      <c r="X277">
        <v>0</v>
      </c>
      <c r="Y277">
        <v>0</v>
      </c>
      <c r="Z277">
        <v>0</v>
      </c>
      <c r="AA277">
        <v>0</v>
      </c>
      <c r="AB277">
        <v>0</v>
      </c>
    </row>
    <row r="278" spans="1:28" x14ac:dyDescent="0.3">
      <c r="A278" s="1">
        <v>44080</v>
      </c>
      <c r="B278" t="s">
        <v>147</v>
      </c>
      <c r="C278">
        <v>1</v>
      </c>
      <c r="D278">
        <v>0</v>
      </c>
      <c r="E278">
        <v>0</v>
      </c>
      <c r="F278">
        <v>0</v>
      </c>
      <c r="G278">
        <v>0</v>
      </c>
      <c r="H278">
        <v>0</v>
      </c>
      <c r="I278">
        <v>0</v>
      </c>
      <c r="J278">
        <v>0</v>
      </c>
      <c r="K278">
        <v>0</v>
      </c>
      <c r="L278">
        <v>0</v>
      </c>
      <c r="M278">
        <v>2075116</v>
      </c>
      <c r="N278" t="s">
        <v>148</v>
      </c>
      <c r="O278" t="s">
        <v>149</v>
      </c>
      <c r="P278">
        <v>0</v>
      </c>
      <c r="Q278">
        <v>0</v>
      </c>
      <c r="R278">
        <v>0</v>
      </c>
      <c r="S278">
        <v>0</v>
      </c>
      <c r="T278">
        <v>0</v>
      </c>
      <c r="U278">
        <v>0</v>
      </c>
      <c r="V278">
        <v>0</v>
      </c>
      <c r="W278">
        <v>0</v>
      </c>
      <c r="X278">
        <v>0</v>
      </c>
      <c r="Y278">
        <v>0</v>
      </c>
      <c r="Z278">
        <v>0</v>
      </c>
      <c r="AA278">
        <v>0</v>
      </c>
      <c r="AB278">
        <v>0</v>
      </c>
    </row>
    <row r="279" spans="1:28" x14ac:dyDescent="0.3">
      <c r="A279" s="1">
        <v>44080</v>
      </c>
      <c r="B279" t="s">
        <v>282</v>
      </c>
      <c r="C279">
        <v>1</v>
      </c>
      <c r="D279">
        <v>0</v>
      </c>
      <c r="E279">
        <v>0</v>
      </c>
      <c r="F279">
        <v>0</v>
      </c>
      <c r="G279">
        <v>0</v>
      </c>
      <c r="H279">
        <v>0</v>
      </c>
      <c r="I279">
        <v>0</v>
      </c>
      <c r="J279">
        <v>0</v>
      </c>
      <c r="K279">
        <v>0</v>
      </c>
      <c r="L279">
        <v>0</v>
      </c>
      <c r="M279">
        <v>2134380</v>
      </c>
      <c r="N279" t="s">
        <v>283</v>
      </c>
      <c r="O279" t="s">
        <v>284</v>
      </c>
      <c r="P279">
        <v>0</v>
      </c>
      <c r="Q279">
        <v>0</v>
      </c>
      <c r="R279">
        <v>0</v>
      </c>
      <c r="S279">
        <v>0</v>
      </c>
      <c r="T279">
        <v>0</v>
      </c>
      <c r="U279">
        <v>0</v>
      </c>
      <c r="V279">
        <v>0</v>
      </c>
      <c r="W279">
        <v>0</v>
      </c>
      <c r="X279">
        <v>0</v>
      </c>
      <c r="Y279">
        <v>0</v>
      </c>
      <c r="Z279">
        <v>0</v>
      </c>
      <c r="AA279">
        <v>0</v>
      </c>
      <c r="AB279">
        <v>0</v>
      </c>
    </row>
    <row r="280" spans="1:28" x14ac:dyDescent="0.3">
      <c r="A280" s="1">
        <v>44080</v>
      </c>
      <c r="B280" t="s">
        <v>195</v>
      </c>
      <c r="C280">
        <v>1</v>
      </c>
      <c r="D280">
        <v>0</v>
      </c>
      <c r="E280">
        <v>0</v>
      </c>
      <c r="F280">
        <v>0</v>
      </c>
      <c r="G280">
        <v>0</v>
      </c>
      <c r="H280">
        <v>0</v>
      </c>
      <c r="I280">
        <v>0</v>
      </c>
      <c r="J280">
        <v>0</v>
      </c>
      <c r="K280">
        <v>0</v>
      </c>
      <c r="L280">
        <v>0</v>
      </c>
      <c r="M280">
        <v>2182271</v>
      </c>
      <c r="N280" t="s">
        <v>196</v>
      </c>
      <c r="O280" t="s">
        <v>197</v>
      </c>
      <c r="P280">
        <v>0</v>
      </c>
      <c r="Q280">
        <v>0</v>
      </c>
      <c r="R280">
        <v>0</v>
      </c>
      <c r="S280">
        <v>0</v>
      </c>
      <c r="T280">
        <v>0</v>
      </c>
      <c r="U280">
        <v>0</v>
      </c>
      <c r="V280">
        <v>0</v>
      </c>
      <c r="W280">
        <v>0</v>
      </c>
      <c r="X280">
        <v>0</v>
      </c>
      <c r="Y280">
        <v>0</v>
      </c>
      <c r="Z280">
        <v>0</v>
      </c>
      <c r="AA280">
        <v>0</v>
      </c>
      <c r="AB280">
        <v>0</v>
      </c>
    </row>
    <row r="281" spans="1:28" x14ac:dyDescent="0.3">
      <c r="A281" s="1">
        <v>44080</v>
      </c>
      <c r="B281" t="s">
        <v>117</v>
      </c>
      <c r="C281">
        <v>1</v>
      </c>
      <c r="D281">
        <v>0</v>
      </c>
      <c r="E281">
        <v>0</v>
      </c>
      <c r="F281">
        <v>0</v>
      </c>
      <c r="G281">
        <v>0</v>
      </c>
      <c r="H281">
        <v>0</v>
      </c>
      <c r="I281">
        <v>0</v>
      </c>
      <c r="J281">
        <v>0</v>
      </c>
      <c r="K281">
        <v>0</v>
      </c>
      <c r="L281">
        <v>0</v>
      </c>
      <c r="M281">
        <v>2316883</v>
      </c>
      <c r="N281" t="s">
        <v>118</v>
      </c>
      <c r="O281" t="s">
        <v>119</v>
      </c>
      <c r="P281">
        <v>0</v>
      </c>
      <c r="Q281">
        <v>0</v>
      </c>
      <c r="R281">
        <v>0</v>
      </c>
      <c r="S281">
        <v>0</v>
      </c>
      <c r="T281">
        <v>0</v>
      </c>
      <c r="U281">
        <v>0</v>
      </c>
      <c r="V281">
        <v>0</v>
      </c>
      <c r="W281">
        <v>0</v>
      </c>
      <c r="X281">
        <v>0</v>
      </c>
      <c r="Y281">
        <v>0</v>
      </c>
      <c r="Z281">
        <v>0</v>
      </c>
      <c r="AA281">
        <v>0</v>
      </c>
      <c r="AB281">
        <v>0</v>
      </c>
    </row>
    <row r="282" spans="1:28" x14ac:dyDescent="0.3">
      <c r="A282" s="1">
        <v>44084</v>
      </c>
      <c r="B282" t="s">
        <v>28</v>
      </c>
      <c r="C282">
        <v>94</v>
      </c>
      <c r="D282">
        <v>754</v>
      </c>
      <c r="E282">
        <v>0</v>
      </c>
      <c r="F282">
        <v>754</v>
      </c>
      <c r="G282">
        <v>3</v>
      </c>
      <c r="H282">
        <v>0</v>
      </c>
      <c r="I282">
        <v>113.1</v>
      </c>
      <c r="J282">
        <v>3.19</v>
      </c>
      <c r="K282">
        <v>120.32</v>
      </c>
      <c r="L282">
        <v>251.33</v>
      </c>
      <c r="M282">
        <v>314743</v>
      </c>
      <c r="N282" t="s">
        <v>29</v>
      </c>
      <c r="O282" t="s">
        <v>30</v>
      </c>
      <c r="P282">
        <v>3</v>
      </c>
      <c r="Q282">
        <v>0</v>
      </c>
      <c r="R282">
        <v>0</v>
      </c>
      <c r="S282">
        <v>0</v>
      </c>
      <c r="T282">
        <v>0</v>
      </c>
      <c r="U282">
        <v>0</v>
      </c>
      <c r="V282">
        <v>113.1</v>
      </c>
      <c r="W282">
        <v>0</v>
      </c>
      <c r="X282">
        <v>0</v>
      </c>
      <c r="Y282">
        <v>0</v>
      </c>
      <c r="Z282">
        <v>0</v>
      </c>
      <c r="AA282">
        <v>0</v>
      </c>
      <c r="AB282">
        <v>22.63</v>
      </c>
    </row>
    <row r="283" spans="1:28" x14ac:dyDescent="0.3">
      <c r="A283" s="1">
        <v>44084</v>
      </c>
      <c r="B283" t="s">
        <v>31</v>
      </c>
      <c r="C283">
        <v>3</v>
      </c>
      <c r="D283">
        <v>309.39999999999998</v>
      </c>
      <c r="E283">
        <v>0</v>
      </c>
      <c r="F283">
        <v>309.39999999999998</v>
      </c>
      <c r="G283">
        <v>1</v>
      </c>
      <c r="H283">
        <v>0</v>
      </c>
      <c r="I283">
        <v>30.94</v>
      </c>
      <c r="J283">
        <v>33.33</v>
      </c>
      <c r="K283">
        <v>1031.33</v>
      </c>
      <c r="L283">
        <v>309.39999999999998</v>
      </c>
      <c r="M283">
        <v>1663605</v>
      </c>
      <c r="N283" t="s">
        <v>32</v>
      </c>
      <c r="O283" t="s">
        <v>33</v>
      </c>
      <c r="P283">
        <v>1</v>
      </c>
      <c r="Q283">
        <v>0</v>
      </c>
      <c r="R283">
        <v>0</v>
      </c>
      <c r="S283">
        <v>0</v>
      </c>
      <c r="T283">
        <v>0</v>
      </c>
      <c r="U283">
        <v>0</v>
      </c>
      <c r="V283">
        <v>30.94</v>
      </c>
      <c r="W283">
        <v>0</v>
      </c>
      <c r="X283">
        <v>0</v>
      </c>
      <c r="Y283">
        <v>0</v>
      </c>
      <c r="Z283">
        <v>0</v>
      </c>
      <c r="AA283">
        <v>0</v>
      </c>
      <c r="AB283">
        <v>6.19</v>
      </c>
    </row>
    <row r="284" spans="1:28" x14ac:dyDescent="0.3">
      <c r="A284" s="1">
        <v>44084</v>
      </c>
      <c r="B284" t="s">
        <v>34</v>
      </c>
      <c r="C284">
        <v>10</v>
      </c>
      <c r="D284">
        <v>189</v>
      </c>
      <c r="E284">
        <v>0</v>
      </c>
      <c r="F284">
        <v>189</v>
      </c>
      <c r="G284">
        <v>1</v>
      </c>
      <c r="H284">
        <v>0</v>
      </c>
      <c r="I284">
        <v>37.799999999999997</v>
      </c>
      <c r="J284">
        <v>10</v>
      </c>
      <c r="K284">
        <v>378</v>
      </c>
      <c r="L284">
        <v>189</v>
      </c>
      <c r="M284">
        <v>2284878</v>
      </c>
      <c r="N284" t="s">
        <v>35</v>
      </c>
      <c r="O284" t="s">
        <v>36</v>
      </c>
      <c r="P284">
        <v>1</v>
      </c>
      <c r="Q284">
        <v>0</v>
      </c>
      <c r="R284">
        <v>0</v>
      </c>
      <c r="S284">
        <v>0</v>
      </c>
      <c r="T284">
        <v>0</v>
      </c>
      <c r="U284">
        <v>0</v>
      </c>
      <c r="V284">
        <v>37.799999999999997</v>
      </c>
      <c r="W284">
        <v>0</v>
      </c>
      <c r="X284">
        <v>0</v>
      </c>
      <c r="Y284">
        <v>0</v>
      </c>
      <c r="Z284">
        <v>0</v>
      </c>
      <c r="AA284">
        <v>0</v>
      </c>
      <c r="AB284">
        <v>7.56</v>
      </c>
    </row>
    <row r="285" spans="1:28" x14ac:dyDescent="0.3">
      <c r="A285" s="1">
        <v>44084</v>
      </c>
      <c r="B285" t="s">
        <v>37</v>
      </c>
      <c r="C285">
        <v>21</v>
      </c>
      <c r="D285">
        <v>178.88</v>
      </c>
      <c r="E285">
        <v>0</v>
      </c>
      <c r="F285">
        <v>178.88</v>
      </c>
      <c r="G285">
        <v>1</v>
      </c>
      <c r="H285">
        <v>0</v>
      </c>
      <c r="I285">
        <v>5.37</v>
      </c>
      <c r="J285">
        <v>4.76</v>
      </c>
      <c r="K285">
        <v>25.57</v>
      </c>
      <c r="L285">
        <v>178.88</v>
      </c>
      <c r="M285">
        <v>201285</v>
      </c>
      <c r="N285" t="s">
        <v>38</v>
      </c>
      <c r="O285" t="s">
        <v>39</v>
      </c>
      <c r="P285">
        <v>1</v>
      </c>
      <c r="Q285">
        <v>0</v>
      </c>
      <c r="R285">
        <v>0</v>
      </c>
      <c r="S285">
        <v>0</v>
      </c>
      <c r="T285">
        <v>0</v>
      </c>
      <c r="U285">
        <v>0</v>
      </c>
      <c r="V285">
        <v>5.37</v>
      </c>
      <c r="W285">
        <v>0</v>
      </c>
      <c r="X285">
        <v>0</v>
      </c>
      <c r="Y285">
        <v>0</v>
      </c>
      <c r="Z285">
        <v>0</v>
      </c>
      <c r="AA285">
        <v>0</v>
      </c>
      <c r="AB285">
        <v>1.07</v>
      </c>
    </row>
    <row r="286" spans="1:28" x14ac:dyDescent="0.3">
      <c r="A286" s="1">
        <v>44084</v>
      </c>
      <c r="B286" t="s">
        <v>40</v>
      </c>
      <c r="C286">
        <v>76</v>
      </c>
      <c r="D286">
        <v>163.16999999999999</v>
      </c>
      <c r="E286">
        <v>0</v>
      </c>
      <c r="F286">
        <v>163.16999999999999</v>
      </c>
      <c r="G286">
        <v>1</v>
      </c>
      <c r="H286">
        <v>0</v>
      </c>
      <c r="I286">
        <v>32.630000000000003</v>
      </c>
      <c r="J286">
        <v>1.32</v>
      </c>
      <c r="K286">
        <v>42.93</v>
      </c>
      <c r="L286">
        <v>163.16999999999999</v>
      </c>
      <c r="M286">
        <v>1088116</v>
      </c>
      <c r="N286" t="s">
        <v>41</v>
      </c>
      <c r="O286" t="s">
        <v>42</v>
      </c>
      <c r="P286">
        <v>1</v>
      </c>
      <c r="Q286">
        <v>0</v>
      </c>
      <c r="R286">
        <v>0</v>
      </c>
      <c r="S286">
        <v>0</v>
      </c>
      <c r="T286">
        <v>0</v>
      </c>
      <c r="U286">
        <v>0</v>
      </c>
      <c r="V286">
        <v>32.630000000000003</v>
      </c>
      <c r="W286">
        <v>0</v>
      </c>
      <c r="X286">
        <v>0</v>
      </c>
      <c r="Y286">
        <v>0</v>
      </c>
      <c r="Z286">
        <v>0</v>
      </c>
      <c r="AA286">
        <v>0</v>
      </c>
      <c r="AB286">
        <v>6.53</v>
      </c>
    </row>
    <row r="287" spans="1:28" x14ac:dyDescent="0.3">
      <c r="A287" s="1">
        <v>44084</v>
      </c>
      <c r="B287" t="s">
        <v>43</v>
      </c>
      <c r="C287">
        <v>36</v>
      </c>
      <c r="D287">
        <v>139.30000000000001</v>
      </c>
      <c r="E287">
        <v>0</v>
      </c>
      <c r="F287">
        <v>139.30000000000001</v>
      </c>
      <c r="G287">
        <v>1</v>
      </c>
      <c r="H287">
        <v>0</v>
      </c>
      <c r="I287">
        <v>4.18</v>
      </c>
      <c r="J287">
        <v>2.78</v>
      </c>
      <c r="K287">
        <v>11.61</v>
      </c>
      <c r="L287">
        <v>139.30000000000001</v>
      </c>
      <c r="M287">
        <v>389818</v>
      </c>
      <c r="N287" t="s">
        <v>44</v>
      </c>
      <c r="O287" t="s">
        <v>45</v>
      </c>
      <c r="P287">
        <v>1</v>
      </c>
      <c r="Q287">
        <v>0</v>
      </c>
      <c r="R287">
        <v>0</v>
      </c>
      <c r="S287">
        <v>0</v>
      </c>
      <c r="T287">
        <v>0</v>
      </c>
      <c r="U287">
        <v>0</v>
      </c>
      <c r="V287">
        <v>4.18</v>
      </c>
      <c r="W287">
        <v>0</v>
      </c>
      <c r="X287">
        <v>0</v>
      </c>
      <c r="Y287">
        <v>0</v>
      </c>
      <c r="Z287">
        <v>0</v>
      </c>
      <c r="AA287">
        <v>0</v>
      </c>
      <c r="AB287">
        <v>0.84</v>
      </c>
    </row>
    <row r="288" spans="1:28" x14ac:dyDescent="0.3">
      <c r="A288" s="1">
        <v>44084</v>
      </c>
      <c r="B288" t="s">
        <v>46</v>
      </c>
      <c r="C288">
        <v>5</v>
      </c>
      <c r="D288">
        <v>138.38</v>
      </c>
      <c r="E288">
        <v>0</v>
      </c>
      <c r="F288">
        <v>138.38</v>
      </c>
      <c r="G288">
        <v>1</v>
      </c>
      <c r="H288">
        <v>0</v>
      </c>
      <c r="I288">
        <v>4.1500000000000004</v>
      </c>
      <c r="J288">
        <v>20</v>
      </c>
      <c r="K288">
        <v>83</v>
      </c>
      <c r="L288">
        <v>138.38</v>
      </c>
      <c r="M288">
        <v>445875</v>
      </c>
      <c r="N288" t="s">
        <v>47</v>
      </c>
      <c r="O288" t="s">
        <v>48</v>
      </c>
      <c r="P288">
        <v>1</v>
      </c>
      <c r="Q288">
        <v>0</v>
      </c>
      <c r="R288">
        <v>0</v>
      </c>
      <c r="S288">
        <v>0</v>
      </c>
      <c r="T288">
        <v>0</v>
      </c>
      <c r="U288">
        <v>0</v>
      </c>
      <c r="V288">
        <v>4.1500000000000004</v>
      </c>
      <c r="W288">
        <v>0</v>
      </c>
      <c r="X288">
        <v>0</v>
      </c>
      <c r="Y288">
        <v>0</v>
      </c>
      <c r="Z288">
        <v>0</v>
      </c>
      <c r="AA288">
        <v>0</v>
      </c>
      <c r="AB288">
        <v>0.83</v>
      </c>
    </row>
    <row r="289" spans="1:28" x14ac:dyDescent="0.3">
      <c r="A289" s="1">
        <v>44084</v>
      </c>
      <c r="B289" t="s">
        <v>49</v>
      </c>
      <c r="C289">
        <v>46</v>
      </c>
      <c r="D289">
        <v>0</v>
      </c>
      <c r="E289">
        <v>0</v>
      </c>
      <c r="F289">
        <v>0</v>
      </c>
      <c r="G289">
        <v>0</v>
      </c>
      <c r="H289">
        <v>0</v>
      </c>
      <c r="I289">
        <v>0</v>
      </c>
      <c r="J289">
        <v>0</v>
      </c>
      <c r="K289">
        <v>0</v>
      </c>
      <c r="L289">
        <v>0</v>
      </c>
      <c r="M289">
        <v>725033</v>
      </c>
      <c r="N289" t="s">
        <v>50</v>
      </c>
      <c r="O289" t="s">
        <v>51</v>
      </c>
      <c r="P289">
        <v>0</v>
      </c>
      <c r="Q289">
        <v>0</v>
      </c>
      <c r="R289">
        <v>0</v>
      </c>
      <c r="S289">
        <v>0</v>
      </c>
      <c r="T289">
        <v>0</v>
      </c>
      <c r="U289">
        <v>0</v>
      </c>
      <c r="V289">
        <v>0</v>
      </c>
      <c r="W289">
        <v>0</v>
      </c>
      <c r="X289">
        <v>0</v>
      </c>
      <c r="Y289">
        <v>0</v>
      </c>
      <c r="Z289">
        <v>0</v>
      </c>
      <c r="AA289">
        <v>0</v>
      </c>
      <c r="AB289">
        <v>0</v>
      </c>
    </row>
    <row r="290" spans="1:28" x14ac:dyDescent="0.3">
      <c r="A290" s="1">
        <v>44084</v>
      </c>
      <c r="B290" t="s">
        <v>52</v>
      </c>
      <c r="C290">
        <v>35</v>
      </c>
      <c r="D290">
        <v>0</v>
      </c>
      <c r="E290">
        <v>0</v>
      </c>
      <c r="F290">
        <v>0</v>
      </c>
      <c r="G290">
        <v>0</v>
      </c>
      <c r="H290">
        <v>0</v>
      </c>
      <c r="I290">
        <v>0</v>
      </c>
      <c r="J290">
        <v>0</v>
      </c>
      <c r="K290">
        <v>0</v>
      </c>
      <c r="L290">
        <v>0</v>
      </c>
      <c r="M290">
        <v>1584217</v>
      </c>
      <c r="N290" t="s">
        <v>53</v>
      </c>
      <c r="O290" t="s">
        <v>54</v>
      </c>
      <c r="P290">
        <v>0</v>
      </c>
      <c r="Q290">
        <v>0</v>
      </c>
      <c r="R290">
        <v>0</v>
      </c>
      <c r="S290">
        <v>0</v>
      </c>
      <c r="T290">
        <v>0</v>
      </c>
      <c r="U290">
        <v>0</v>
      </c>
      <c r="V290">
        <v>0</v>
      </c>
      <c r="W290">
        <v>0</v>
      </c>
      <c r="X290">
        <v>0</v>
      </c>
      <c r="Y290">
        <v>0</v>
      </c>
      <c r="Z290">
        <v>0</v>
      </c>
      <c r="AA290">
        <v>0</v>
      </c>
      <c r="AB290">
        <v>0</v>
      </c>
    </row>
    <row r="291" spans="1:28" x14ac:dyDescent="0.3">
      <c r="A291" s="1">
        <v>44084</v>
      </c>
      <c r="B291" t="s">
        <v>55</v>
      </c>
      <c r="C291">
        <v>28</v>
      </c>
      <c r="D291">
        <v>0</v>
      </c>
      <c r="E291">
        <v>0</v>
      </c>
      <c r="F291">
        <v>0</v>
      </c>
      <c r="G291">
        <v>0</v>
      </c>
      <c r="H291">
        <v>0</v>
      </c>
      <c r="I291">
        <v>0</v>
      </c>
      <c r="J291">
        <v>0</v>
      </c>
      <c r="K291">
        <v>0</v>
      </c>
      <c r="L291">
        <v>0</v>
      </c>
      <c r="M291">
        <v>1773960</v>
      </c>
      <c r="N291" t="s">
        <v>35</v>
      </c>
      <c r="O291" t="s">
        <v>56</v>
      </c>
      <c r="P291">
        <v>0</v>
      </c>
      <c r="Q291">
        <v>0</v>
      </c>
      <c r="R291">
        <v>0</v>
      </c>
      <c r="S291">
        <v>0</v>
      </c>
      <c r="T291">
        <v>0</v>
      </c>
      <c r="U291">
        <v>0</v>
      </c>
      <c r="V291">
        <v>0</v>
      </c>
      <c r="W291">
        <v>0</v>
      </c>
      <c r="X291">
        <v>0</v>
      </c>
      <c r="Y291">
        <v>0</v>
      </c>
      <c r="Z291">
        <v>0</v>
      </c>
      <c r="AA291">
        <v>0</v>
      </c>
      <c r="AB291">
        <v>0</v>
      </c>
    </row>
    <row r="292" spans="1:28" x14ac:dyDescent="0.3">
      <c r="A292" s="1">
        <v>44084</v>
      </c>
      <c r="B292" t="s">
        <v>57</v>
      </c>
      <c r="C292">
        <v>25</v>
      </c>
      <c r="D292">
        <v>0</v>
      </c>
      <c r="E292">
        <v>0</v>
      </c>
      <c r="F292">
        <v>0</v>
      </c>
      <c r="G292">
        <v>0</v>
      </c>
      <c r="H292">
        <v>0</v>
      </c>
      <c r="I292">
        <v>0</v>
      </c>
      <c r="J292">
        <v>0</v>
      </c>
      <c r="K292">
        <v>0</v>
      </c>
      <c r="L292">
        <v>0</v>
      </c>
      <c r="M292">
        <v>2053730</v>
      </c>
      <c r="N292" t="s">
        <v>58</v>
      </c>
      <c r="O292" t="s">
        <v>59</v>
      </c>
      <c r="P292">
        <v>0</v>
      </c>
      <c r="Q292">
        <v>0</v>
      </c>
      <c r="R292">
        <v>0</v>
      </c>
      <c r="S292">
        <v>0</v>
      </c>
      <c r="T292">
        <v>0</v>
      </c>
      <c r="U292">
        <v>0</v>
      </c>
      <c r="V292">
        <v>0</v>
      </c>
      <c r="W292">
        <v>0</v>
      </c>
      <c r="X292">
        <v>0</v>
      </c>
      <c r="Y292">
        <v>0</v>
      </c>
      <c r="Z292">
        <v>0</v>
      </c>
      <c r="AA292">
        <v>0</v>
      </c>
      <c r="AB292">
        <v>0</v>
      </c>
    </row>
    <row r="293" spans="1:28" x14ac:dyDescent="0.3">
      <c r="A293" s="1">
        <v>44084</v>
      </c>
      <c r="B293" t="s">
        <v>60</v>
      </c>
      <c r="C293">
        <v>17</v>
      </c>
      <c r="D293">
        <v>0</v>
      </c>
      <c r="E293">
        <v>0</v>
      </c>
      <c r="F293">
        <v>0</v>
      </c>
      <c r="G293">
        <v>0</v>
      </c>
      <c r="H293">
        <v>0</v>
      </c>
      <c r="I293">
        <v>0</v>
      </c>
      <c r="J293">
        <v>0</v>
      </c>
      <c r="K293">
        <v>0</v>
      </c>
      <c r="L293">
        <v>0</v>
      </c>
      <c r="M293">
        <v>748814</v>
      </c>
      <c r="N293" t="s">
        <v>61</v>
      </c>
      <c r="O293" t="s">
        <v>62</v>
      </c>
      <c r="P293">
        <v>0</v>
      </c>
      <c r="Q293">
        <v>0</v>
      </c>
      <c r="R293">
        <v>0</v>
      </c>
      <c r="S293">
        <v>0</v>
      </c>
      <c r="T293">
        <v>0</v>
      </c>
      <c r="U293">
        <v>0</v>
      </c>
      <c r="V293">
        <v>0</v>
      </c>
      <c r="W293">
        <v>0</v>
      </c>
      <c r="X293">
        <v>0</v>
      </c>
      <c r="Y293">
        <v>0</v>
      </c>
      <c r="Z293">
        <v>0</v>
      </c>
      <c r="AA293">
        <v>0</v>
      </c>
      <c r="AB293">
        <v>0</v>
      </c>
    </row>
    <row r="294" spans="1:28" x14ac:dyDescent="0.3">
      <c r="A294" s="1">
        <v>44084</v>
      </c>
      <c r="B294" t="s">
        <v>63</v>
      </c>
      <c r="C294">
        <v>6</v>
      </c>
      <c r="D294">
        <v>0</v>
      </c>
      <c r="E294">
        <v>0</v>
      </c>
      <c r="F294">
        <v>0</v>
      </c>
      <c r="G294">
        <v>0</v>
      </c>
      <c r="H294">
        <v>0</v>
      </c>
      <c r="I294">
        <v>0</v>
      </c>
      <c r="J294">
        <v>0</v>
      </c>
      <c r="K294">
        <v>0</v>
      </c>
      <c r="L294">
        <v>0</v>
      </c>
      <c r="M294">
        <v>140995</v>
      </c>
      <c r="N294" t="s">
        <v>64</v>
      </c>
      <c r="O294" t="s">
        <v>65</v>
      </c>
      <c r="P294">
        <v>0</v>
      </c>
      <c r="Q294">
        <v>0</v>
      </c>
      <c r="R294">
        <v>0</v>
      </c>
      <c r="S294">
        <v>0</v>
      </c>
      <c r="T294">
        <v>0</v>
      </c>
      <c r="U294">
        <v>0</v>
      </c>
      <c r="V294">
        <v>0</v>
      </c>
      <c r="W294">
        <v>0</v>
      </c>
      <c r="X294">
        <v>0</v>
      </c>
      <c r="Y294">
        <v>0</v>
      </c>
      <c r="Z294">
        <v>0</v>
      </c>
      <c r="AA294">
        <v>0</v>
      </c>
      <c r="AB294">
        <v>0</v>
      </c>
    </row>
    <row r="295" spans="1:28" x14ac:dyDescent="0.3">
      <c r="A295" s="1">
        <v>44084</v>
      </c>
      <c r="B295" t="s">
        <v>66</v>
      </c>
      <c r="C295">
        <v>6</v>
      </c>
      <c r="D295">
        <v>0</v>
      </c>
      <c r="E295">
        <v>0</v>
      </c>
      <c r="F295">
        <v>0</v>
      </c>
      <c r="G295">
        <v>0</v>
      </c>
      <c r="H295">
        <v>0</v>
      </c>
      <c r="I295">
        <v>0</v>
      </c>
      <c r="J295">
        <v>0</v>
      </c>
      <c r="K295">
        <v>0</v>
      </c>
      <c r="L295">
        <v>0</v>
      </c>
      <c r="M295">
        <v>1413766</v>
      </c>
      <c r="N295" t="s">
        <v>67</v>
      </c>
      <c r="O295" t="s">
        <v>68</v>
      </c>
      <c r="P295">
        <v>0</v>
      </c>
      <c r="Q295">
        <v>0</v>
      </c>
      <c r="R295">
        <v>0</v>
      </c>
      <c r="S295">
        <v>0</v>
      </c>
      <c r="T295">
        <v>0</v>
      </c>
      <c r="U295">
        <v>0</v>
      </c>
      <c r="V295">
        <v>0</v>
      </c>
      <c r="W295">
        <v>0</v>
      </c>
      <c r="X295">
        <v>0</v>
      </c>
      <c r="Y295">
        <v>0</v>
      </c>
      <c r="Z295">
        <v>0</v>
      </c>
      <c r="AA295">
        <v>0</v>
      </c>
      <c r="AB295">
        <v>0</v>
      </c>
    </row>
    <row r="296" spans="1:28" x14ac:dyDescent="0.3">
      <c r="A296" s="1">
        <v>44084</v>
      </c>
      <c r="B296" t="s">
        <v>69</v>
      </c>
      <c r="C296">
        <v>6</v>
      </c>
      <c r="D296">
        <v>0</v>
      </c>
      <c r="E296">
        <v>0</v>
      </c>
      <c r="F296">
        <v>0</v>
      </c>
      <c r="G296">
        <v>0</v>
      </c>
      <c r="H296">
        <v>0</v>
      </c>
      <c r="I296">
        <v>0</v>
      </c>
      <c r="J296">
        <v>0</v>
      </c>
      <c r="K296">
        <v>0</v>
      </c>
      <c r="L296">
        <v>0</v>
      </c>
      <c r="M296">
        <v>1772040</v>
      </c>
      <c r="N296" t="s">
        <v>70</v>
      </c>
      <c r="O296" t="s">
        <v>71</v>
      </c>
      <c r="P296">
        <v>0</v>
      </c>
      <c r="Q296">
        <v>0</v>
      </c>
      <c r="R296">
        <v>0</v>
      </c>
      <c r="S296">
        <v>0</v>
      </c>
      <c r="T296">
        <v>0</v>
      </c>
      <c r="U296">
        <v>0</v>
      </c>
      <c r="V296">
        <v>0</v>
      </c>
      <c r="W296">
        <v>0</v>
      </c>
      <c r="X296">
        <v>0</v>
      </c>
      <c r="Y296">
        <v>0</v>
      </c>
      <c r="Z296">
        <v>0</v>
      </c>
      <c r="AA296">
        <v>0</v>
      </c>
      <c r="AB296">
        <v>0</v>
      </c>
    </row>
    <row r="297" spans="1:28" x14ac:dyDescent="0.3">
      <c r="A297" s="1">
        <v>44084</v>
      </c>
      <c r="B297" t="s">
        <v>72</v>
      </c>
      <c r="C297">
        <v>5</v>
      </c>
      <c r="D297">
        <v>0</v>
      </c>
      <c r="E297">
        <v>0</v>
      </c>
      <c r="F297">
        <v>0</v>
      </c>
      <c r="G297">
        <v>0</v>
      </c>
      <c r="H297">
        <v>0</v>
      </c>
      <c r="I297">
        <v>0</v>
      </c>
      <c r="J297">
        <v>0</v>
      </c>
      <c r="K297">
        <v>0</v>
      </c>
      <c r="L297">
        <v>0</v>
      </c>
      <c r="M297">
        <v>514792</v>
      </c>
      <c r="N297" t="s">
        <v>73</v>
      </c>
      <c r="O297" t="s">
        <v>74</v>
      </c>
      <c r="P297">
        <v>0</v>
      </c>
      <c r="Q297">
        <v>0</v>
      </c>
      <c r="R297">
        <v>0</v>
      </c>
      <c r="S297">
        <v>0</v>
      </c>
      <c r="T297">
        <v>0</v>
      </c>
      <c r="U297">
        <v>0</v>
      </c>
      <c r="V297">
        <v>0</v>
      </c>
      <c r="W297">
        <v>0</v>
      </c>
      <c r="X297">
        <v>0</v>
      </c>
      <c r="Y297">
        <v>0</v>
      </c>
      <c r="Z297">
        <v>0</v>
      </c>
      <c r="AA297">
        <v>0</v>
      </c>
      <c r="AB297">
        <v>0</v>
      </c>
    </row>
    <row r="298" spans="1:28" x14ac:dyDescent="0.3">
      <c r="A298" s="1">
        <v>44084</v>
      </c>
      <c r="B298" t="s">
        <v>75</v>
      </c>
      <c r="C298">
        <v>4</v>
      </c>
      <c r="D298">
        <v>0</v>
      </c>
      <c r="E298">
        <v>0</v>
      </c>
      <c r="F298">
        <v>0</v>
      </c>
      <c r="G298">
        <v>0</v>
      </c>
      <c r="H298">
        <v>0</v>
      </c>
      <c r="I298">
        <v>0</v>
      </c>
      <c r="J298">
        <v>0</v>
      </c>
      <c r="K298">
        <v>0</v>
      </c>
      <c r="L298">
        <v>0</v>
      </c>
      <c r="M298">
        <v>745788</v>
      </c>
      <c r="N298" t="s">
        <v>76</v>
      </c>
      <c r="O298" t="s">
        <v>77</v>
      </c>
      <c r="P298">
        <v>0</v>
      </c>
      <c r="Q298">
        <v>0</v>
      </c>
      <c r="R298">
        <v>0</v>
      </c>
      <c r="S298">
        <v>0</v>
      </c>
      <c r="T298">
        <v>0</v>
      </c>
      <c r="U298">
        <v>0</v>
      </c>
      <c r="V298">
        <v>0</v>
      </c>
      <c r="W298">
        <v>0</v>
      </c>
      <c r="X298">
        <v>0</v>
      </c>
      <c r="Y298">
        <v>0</v>
      </c>
      <c r="Z298">
        <v>0</v>
      </c>
      <c r="AA298">
        <v>0</v>
      </c>
      <c r="AB298">
        <v>0</v>
      </c>
    </row>
    <row r="299" spans="1:28" x14ac:dyDescent="0.3">
      <c r="A299" s="1">
        <v>44084</v>
      </c>
      <c r="B299" t="s">
        <v>78</v>
      </c>
      <c r="C299">
        <v>4</v>
      </c>
      <c r="D299">
        <v>0</v>
      </c>
      <c r="E299">
        <v>0</v>
      </c>
      <c r="F299">
        <v>0</v>
      </c>
      <c r="G299">
        <v>0</v>
      </c>
      <c r="H299">
        <v>0</v>
      </c>
      <c r="I299">
        <v>0</v>
      </c>
      <c r="J299">
        <v>0</v>
      </c>
      <c r="K299">
        <v>0</v>
      </c>
      <c r="L299">
        <v>0</v>
      </c>
      <c r="M299">
        <v>1014069</v>
      </c>
      <c r="N299" t="s">
        <v>79</v>
      </c>
      <c r="O299" t="s">
        <v>80</v>
      </c>
      <c r="P299">
        <v>0</v>
      </c>
      <c r="Q299">
        <v>0</v>
      </c>
      <c r="R299">
        <v>0</v>
      </c>
      <c r="S299">
        <v>0</v>
      </c>
      <c r="T299">
        <v>0</v>
      </c>
      <c r="U299">
        <v>0</v>
      </c>
      <c r="V299">
        <v>0</v>
      </c>
      <c r="W299">
        <v>0</v>
      </c>
      <c r="X299">
        <v>0</v>
      </c>
      <c r="Y299">
        <v>0</v>
      </c>
      <c r="Z299">
        <v>0</v>
      </c>
      <c r="AA299">
        <v>0</v>
      </c>
      <c r="AB299">
        <v>0</v>
      </c>
    </row>
    <row r="300" spans="1:28" x14ac:dyDescent="0.3">
      <c r="A300" s="1">
        <v>44084</v>
      </c>
      <c r="B300" t="s">
        <v>81</v>
      </c>
      <c r="C300">
        <v>4</v>
      </c>
      <c r="D300">
        <v>0</v>
      </c>
      <c r="E300">
        <v>0</v>
      </c>
      <c r="F300">
        <v>0</v>
      </c>
      <c r="G300">
        <v>0</v>
      </c>
      <c r="H300">
        <v>0</v>
      </c>
      <c r="I300">
        <v>0</v>
      </c>
      <c r="J300">
        <v>0</v>
      </c>
      <c r="K300">
        <v>0</v>
      </c>
      <c r="L300">
        <v>0</v>
      </c>
      <c r="M300">
        <v>1225169</v>
      </c>
      <c r="N300" t="s">
        <v>82</v>
      </c>
      <c r="O300" t="s">
        <v>83</v>
      </c>
      <c r="P300">
        <v>0</v>
      </c>
      <c r="Q300">
        <v>0</v>
      </c>
      <c r="R300">
        <v>0</v>
      </c>
      <c r="S300">
        <v>0</v>
      </c>
      <c r="T300">
        <v>0</v>
      </c>
      <c r="U300">
        <v>0</v>
      </c>
      <c r="V300">
        <v>0</v>
      </c>
      <c r="W300">
        <v>0</v>
      </c>
      <c r="X300">
        <v>0</v>
      </c>
      <c r="Y300">
        <v>0</v>
      </c>
      <c r="Z300">
        <v>0</v>
      </c>
      <c r="AA300">
        <v>0</v>
      </c>
      <c r="AB300">
        <v>0</v>
      </c>
    </row>
    <row r="301" spans="1:28" x14ac:dyDescent="0.3">
      <c r="A301" s="1">
        <v>44084</v>
      </c>
      <c r="B301" t="s">
        <v>84</v>
      </c>
      <c r="C301">
        <v>4</v>
      </c>
      <c r="D301">
        <v>0</v>
      </c>
      <c r="E301">
        <v>0</v>
      </c>
      <c r="F301">
        <v>0</v>
      </c>
      <c r="G301">
        <v>0</v>
      </c>
      <c r="H301">
        <v>0</v>
      </c>
      <c r="I301">
        <v>0</v>
      </c>
      <c r="J301">
        <v>0</v>
      </c>
      <c r="K301">
        <v>0</v>
      </c>
      <c r="L301">
        <v>0</v>
      </c>
      <c r="M301">
        <v>1242889</v>
      </c>
      <c r="N301" t="s">
        <v>85</v>
      </c>
      <c r="O301" t="s">
        <v>86</v>
      </c>
      <c r="P301">
        <v>0</v>
      </c>
      <c r="Q301">
        <v>0</v>
      </c>
      <c r="R301">
        <v>0</v>
      </c>
      <c r="S301">
        <v>0</v>
      </c>
      <c r="T301">
        <v>0</v>
      </c>
      <c r="U301">
        <v>0</v>
      </c>
      <c r="V301">
        <v>0</v>
      </c>
      <c r="W301">
        <v>0</v>
      </c>
      <c r="X301">
        <v>0</v>
      </c>
      <c r="Y301">
        <v>0</v>
      </c>
      <c r="Z301">
        <v>0</v>
      </c>
      <c r="AA301">
        <v>0</v>
      </c>
      <c r="AB301">
        <v>0</v>
      </c>
    </row>
    <row r="302" spans="1:28" x14ac:dyDescent="0.3">
      <c r="A302" s="1">
        <v>44084</v>
      </c>
      <c r="B302" t="s">
        <v>87</v>
      </c>
      <c r="C302">
        <v>4</v>
      </c>
      <c r="D302">
        <v>0</v>
      </c>
      <c r="E302">
        <v>0</v>
      </c>
      <c r="F302">
        <v>0</v>
      </c>
      <c r="G302">
        <v>0</v>
      </c>
      <c r="H302">
        <v>0</v>
      </c>
      <c r="I302">
        <v>0</v>
      </c>
      <c r="J302">
        <v>0</v>
      </c>
      <c r="K302">
        <v>0</v>
      </c>
      <c r="L302">
        <v>0</v>
      </c>
      <c r="M302">
        <v>1519404</v>
      </c>
      <c r="N302" t="s">
        <v>88</v>
      </c>
      <c r="O302" t="s">
        <v>89</v>
      </c>
      <c r="P302">
        <v>0</v>
      </c>
      <c r="Q302">
        <v>0</v>
      </c>
      <c r="R302">
        <v>0</v>
      </c>
      <c r="S302">
        <v>0</v>
      </c>
      <c r="T302">
        <v>0</v>
      </c>
      <c r="U302">
        <v>0</v>
      </c>
      <c r="V302">
        <v>0</v>
      </c>
      <c r="W302">
        <v>0</v>
      </c>
      <c r="X302">
        <v>0</v>
      </c>
      <c r="Y302">
        <v>0</v>
      </c>
      <c r="Z302">
        <v>0</v>
      </c>
      <c r="AA302">
        <v>0</v>
      </c>
      <c r="AB302">
        <v>0</v>
      </c>
    </row>
    <row r="303" spans="1:28" x14ac:dyDescent="0.3">
      <c r="A303" s="1">
        <v>44084</v>
      </c>
      <c r="B303" t="s">
        <v>90</v>
      </c>
      <c r="C303">
        <v>3</v>
      </c>
      <c r="D303">
        <v>0</v>
      </c>
      <c r="E303">
        <v>0</v>
      </c>
      <c r="F303">
        <v>0</v>
      </c>
      <c r="G303">
        <v>0</v>
      </c>
      <c r="H303">
        <v>0</v>
      </c>
      <c r="I303">
        <v>0</v>
      </c>
      <c r="J303">
        <v>0</v>
      </c>
      <c r="K303">
        <v>0</v>
      </c>
      <c r="L303">
        <v>0</v>
      </c>
      <c r="M303">
        <v>136482</v>
      </c>
      <c r="N303" t="s">
        <v>91</v>
      </c>
      <c r="O303" t="s">
        <v>92</v>
      </c>
      <c r="P303">
        <v>0</v>
      </c>
      <c r="Q303">
        <v>0</v>
      </c>
      <c r="R303">
        <v>0</v>
      </c>
      <c r="S303">
        <v>0</v>
      </c>
      <c r="T303">
        <v>0</v>
      </c>
      <c r="U303">
        <v>0</v>
      </c>
      <c r="V303">
        <v>0</v>
      </c>
      <c r="W303">
        <v>0</v>
      </c>
      <c r="X303">
        <v>0</v>
      </c>
      <c r="Y303">
        <v>0</v>
      </c>
      <c r="Z303">
        <v>0</v>
      </c>
      <c r="AA303">
        <v>0</v>
      </c>
      <c r="AB303">
        <v>0</v>
      </c>
    </row>
    <row r="304" spans="1:28" x14ac:dyDescent="0.3">
      <c r="A304" s="1">
        <v>44084</v>
      </c>
      <c r="B304" t="s">
        <v>93</v>
      </c>
      <c r="C304">
        <v>3</v>
      </c>
      <c r="D304">
        <v>0</v>
      </c>
      <c r="E304">
        <v>0</v>
      </c>
      <c r="F304">
        <v>0</v>
      </c>
      <c r="G304">
        <v>0</v>
      </c>
      <c r="H304">
        <v>0</v>
      </c>
      <c r="I304">
        <v>0</v>
      </c>
      <c r="J304">
        <v>0</v>
      </c>
      <c r="K304">
        <v>0</v>
      </c>
      <c r="L304">
        <v>0</v>
      </c>
      <c r="M304">
        <v>1238556</v>
      </c>
      <c r="N304" t="s">
        <v>94</v>
      </c>
      <c r="O304" t="s">
        <v>95</v>
      </c>
      <c r="P304">
        <v>0</v>
      </c>
      <c r="Q304">
        <v>0</v>
      </c>
      <c r="R304">
        <v>0</v>
      </c>
      <c r="S304">
        <v>0</v>
      </c>
      <c r="T304">
        <v>0</v>
      </c>
      <c r="U304">
        <v>0</v>
      </c>
      <c r="V304">
        <v>0</v>
      </c>
      <c r="W304">
        <v>0</v>
      </c>
      <c r="X304">
        <v>0</v>
      </c>
      <c r="Y304">
        <v>0</v>
      </c>
      <c r="Z304">
        <v>0</v>
      </c>
      <c r="AA304">
        <v>0</v>
      </c>
      <c r="AB304">
        <v>0</v>
      </c>
    </row>
    <row r="305" spans="1:28" x14ac:dyDescent="0.3">
      <c r="A305" s="1">
        <v>44084</v>
      </c>
      <c r="B305" t="s">
        <v>96</v>
      </c>
      <c r="C305">
        <v>3</v>
      </c>
      <c r="D305">
        <v>0</v>
      </c>
      <c r="E305">
        <v>0</v>
      </c>
      <c r="F305">
        <v>0</v>
      </c>
      <c r="G305">
        <v>0</v>
      </c>
      <c r="H305">
        <v>0</v>
      </c>
      <c r="I305">
        <v>0</v>
      </c>
      <c r="J305">
        <v>0</v>
      </c>
      <c r="K305">
        <v>0</v>
      </c>
      <c r="L305">
        <v>0</v>
      </c>
      <c r="M305">
        <v>1372745</v>
      </c>
      <c r="N305" t="s">
        <v>97</v>
      </c>
      <c r="O305" t="s">
        <v>98</v>
      </c>
      <c r="P305">
        <v>0</v>
      </c>
      <c r="Q305">
        <v>0</v>
      </c>
      <c r="R305">
        <v>0</v>
      </c>
      <c r="S305">
        <v>0</v>
      </c>
      <c r="T305">
        <v>0</v>
      </c>
      <c r="U305">
        <v>0</v>
      </c>
      <c r="V305">
        <v>0</v>
      </c>
      <c r="W305">
        <v>0</v>
      </c>
      <c r="X305">
        <v>0</v>
      </c>
      <c r="Y305">
        <v>0</v>
      </c>
      <c r="Z305">
        <v>0</v>
      </c>
      <c r="AA305">
        <v>0</v>
      </c>
      <c r="AB305">
        <v>0</v>
      </c>
    </row>
    <row r="306" spans="1:28" x14ac:dyDescent="0.3">
      <c r="A306" s="1">
        <v>44084</v>
      </c>
      <c r="B306" t="s">
        <v>99</v>
      </c>
      <c r="C306">
        <v>2</v>
      </c>
      <c r="D306">
        <v>0</v>
      </c>
      <c r="E306">
        <v>0</v>
      </c>
      <c r="F306">
        <v>0</v>
      </c>
      <c r="G306">
        <v>0</v>
      </c>
      <c r="H306">
        <v>0</v>
      </c>
      <c r="I306">
        <v>0</v>
      </c>
      <c r="J306">
        <v>0</v>
      </c>
      <c r="K306">
        <v>0</v>
      </c>
      <c r="L306">
        <v>0</v>
      </c>
      <c r="M306">
        <v>193744</v>
      </c>
      <c r="N306" t="s">
        <v>100</v>
      </c>
      <c r="O306" t="s">
        <v>101</v>
      </c>
      <c r="P306">
        <v>0</v>
      </c>
      <c r="Q306">
        <v>0</v>
      </c>
      <c r="R306">
        <v>0</v>
      </c>
      <c r="S306">
        <v>0</v>
      </c>
      <c r="T306">
        <v>0</v>
      </c>
      <c r="U306">
        <v>0</v>
      </c>
      <c r="V306">
        <v>0</v>
      </c>
      <c r="W306">
        <v>0</v>
      </c>
      <c r="X306">
        <v>0</v>
      </c>
      <c r="Y306">
        <v>0</v>
      </c>
      <c r="Z306">
        <v>0</v>
      </c>
      <c r="AA306">
        <v>0</v>
      </c>
      <c r="AB306">
        <v>0</v>
      </c>
    </row>
    <row r="307" spans="1:28" x14ac:dyDescent="0.3">
      <c r="A307" s="1">
        <v>44084</v>
      </c>
      <c r="B307" t="s">
        <v>102</v>
      </c>
      <c r="C307">
        <v>2</v>
      </c>
      <c r="D307">
        <v>0</v>
      </c>
      <c r="E307">
        <v>0</v>
      </c>
      <c r="F307">
        <v>0</v>
      </c>
      <c r="G307">
        <v>0</v>
      </c>
      <c r="H307">
        <v>0</v>
      </c>
      <c r="I307">
        <v>0</v>
      </c>
      <c r="J307">
        <v>0</v>
      </c>
      <c r="K307">
        <v>0</v>
      </c>
      <c r="L307">
        <v>0</v>
      </c>
      <c r="M307">
        <v>742098</v>
      </c>
      <c r="N307" t="s">
        <v>103</v>
      </c>
      <c r="O307" t="s">
        <v>104</v>
      </c>
      <c r="P307">
        <v>0</v>
      </c>
      <c r="Q307">
        <v>0</v>
      </c>
      <c r="R307">
        <v>0</v>
      </c>
      <c r="S307">
        <v>0</v>
      </c>
      <c r="T307">
        <v>0</v>
      </c>
      <c r="U307">
        <v>0</v>
      </c>
      <c r="V307">
        <v>0</v>
      </c>
      <c r="W307">
        <v>0</v>
      </c>
      <c r="X307">
        <v>0</v>
      </c>
      <c r="Y307">
        <v>0</v>
      </c>
      <c r="Z307">
        <v>0</v>
      </c>
      <c r="AA307">
        <v>0</v>
      </c>
      <c r="AB307">
        <v>0</v>
      </c>
    </row>
    <row r="308" spans="1:28" x14ac:dyDescent="0.3">
      <c r="A308" s="1">
        <v>44084</v>
      </c>
      <c r="B308" t="s">
        <v>105</v>
      </c>
      <c r="C308">
        <v>2</v>
      </c>
      <c r="D308">
        <v>0</v>
      </c>
      <c r="E308">
        <v>0</v>
      </c>
      <c r="F308">
        <v>0</v>
      </c>
      <c r="G308">
        <v>0</v>
      </c>
      <c r="H308">
        <v>0</v>
      </c>
      <c r="I308">
        <v>0</v>
      </c>
      <c r="J308">
        <v>0</v>
      </c>
      <c r="K308">
        <v>0</v>
      </c>
      <c r="L308">
        <v>0</v>
      </c>
      <c r="M308">
        <v>930703</v>
      </c>
      <c r="N308" t="s">
        <v>106</v>
      </c>
      <c r="O308" t="s">
        <v>107</v>
      </c>
      <c r="P308">
        <v>0</v>
      </c>
      <c r="Q308">
        <v>0</v>
      </c>
      <c r="R308">
        <v>0</v>
      </c>
      <c r="S308">
        <v>0</v>
      </c>
      <c r="T308">
        <v>0</v>
      </c>
      <c r="U308">
        <v>0</v>
      </c>
      <c r="V308">
        <v>0</v>
      </c>
      <c r="W308">
        <v>0</v>
      </c>
      <c r="X308">
        <v>0</v>
      </c>
      <c r="Y308">
        <v>0</v>
      </c>
      <c r="Z308">
        <v>0</v>
      </c>
      <c r="AA308">
        <v>0</v>
      </c>
      <c r="AB308">
        <v>0</v>
      </c>
    </row>
    <row r="309" spans="1:28" x14ac:dyDescent="0.3">
      <c r="A309" s="1">
        <v>44084</v>
      </c>
      <c r="B309" t="s">
        <v>108</v>
      </c>
      <c r="C309">
        <v>2</v>
      </c>
      <c r="D309">
        <v>0</v>
      </c>
      <c r="E309">
        <v>0</v>
      </c>
      <c r="F309">
        <v>0</v>
      </c>
      <c r="G309">
        <v>0</v>
      </c>
      <c r="H309">
        <v>0</v>
      </c>
      <c r="I309">
        <v>0</v>
      </c>
      <c r="J309">
        <v>0</v>
      </c>
      <c r="K309">
        <v>0</v>
      </c>
      <c r="L309">
        <v>0</v>
      </c>
      <c r="M309">
        <v>1273061</v>
      </c>
      <c r="N309" t="s">
        <v>109</v>
      </c>
      <c r="O309" t="s">
        <v>110</v>
      </c>
      <c r="P309">
        <v>0</v>
      </c>
      <c r="Q309">
        <v>0</v>
      </c>
      <c r="R309">
        <v>0</v>
      </c>
      <c r="S309">
        <v>0</v>
      </c>
      <c r="T309">
        <v>0</v>
      </c>
      <c r="U309">
        <v>0</v>
      </c>
      <c r="V309">
        <v>0</v>
      </c>
      <c r="W309">
        <v>0</v>
      </c>
      <c r="X309">
        <v>0</v>
      </c>
      <c r="Y309">
        <v>0</v>
      </c>
      <c r="Z309">
        <v>0</v>
      </c>
      <c r="AA309">
        <v>0</v>
      </c>
      <c r="AB309">
        <v>0</v>
      </c>
    </row>
    <row r="310" spans="1:28" x14ac:dyDescent="0.3">
      <c r="A310" s="1">
        <v>44084</v>
      </c>
      <c r="B310" t="s">
        <v>111</v>
      </c>
      <c r="C310">
        <v>2</v>
      </c>
      <c r="D310">
        <v>0</v>
      </c>
      <c r="E310">
        <v>0</v>
      </c>
      <c r="F310">
        <v>0</v>
      </c>
      <c r="G310">
        <v>0</v>
      </c>
      <c r="H310">
        <v>0</v>
      </c>
      <c r="I310">
        <v>0</v>
      </c>
      <c r="J310">
        <v>0</v>
      </c>
      <c r="K310">
        <v>0</v>
      </c>
      <c r="L310">
        <v>0</v>
      </c>
      <c r="M310">
        <v>1649859</v>
      </c>
      <c r="N310" t="s">
        <v>112</v>
      </c>
      <c r="O310" t="s">
        <v>113</v>
      </c>
      <c r="P310">
        <v>0</v>
      </c>
      <c r="Q310">
        <v>0</v>
      </c>
      <c r="R310">
        <v>0</v>
      </c>
      <c r="S310">
        <v>0</v>
      </c>
      <c r="T310">
        <v>0</v>
      </c>
      <c r="U310">
        <v>0</v>
      </c>
      <c r="V310">
        <v>0</v>
      </c>
      <c r="W310">
        <v>0</v>
      </c>
      <c r="X310">
        <v>0</v>
      </c>
      <c r="Y310">
        <v>0</v>
      </c>
      <c r="Z310">
        <v>0</v>
      </c>
      <c r="AA310">
        <v>0</v>
      </c>
      <c r="AB310">
        <v>0</v>
      </c>
    </row>
    <row r="311" spans="1:28" x14ac:dyDescent="0.3">
      <c r="A311" s="1">
        <v>44084</v>
      </c>
      <c r="B311" t="s">
        <v>114</v>
      </c>
      <c r="C311">
        <v>2</v>
      </c>
      <c r="D311">
        <v>0</v>
      </c>
      <c r="E311">
        <v>0</v>
      </c>
      <c r="F311">
        <v>0</v>
      </c>
      <c r="G311">
        <v>0</v>
      </c>
      <c r="H311">
        <v>0</v>
      </c>
      <c r="I311">
        <v>0</v>
      </c>
      <c r="J311">
        <v>0</v>
      </c>
      <c r="K311">
        <v>0</v>
      </c>
      <c r="L311">
        <v>0</v>
      </c>
      <c r="M311">
        <v>2059568</v>
      </c>
      <c r="N311" t="s">
        <v>115</v>
      </c>
      <c r="O311" t="s">
        <v>116</v>
      </c>
      <c r="P311">
        <v>0</v>
      </c>
      <c r="Q311">
        <v>0</v>
      </c>
      <c r="R311">
        <v>0</v>
      </c>
      <c r="S311">
        <v>0</v>
      </c>
      <c r="T311">
        <v>0</v>
      </c>
      <c r="U311">
        <v>0</v>
      </c>
      <c r="V311">
        <v>0</v>
      </c>
      <c r="W311">
        <v>0</v>
      </c>
      <c r="X311">
        <v>0</v>
      </c>
      <c r="Y311">
        <v>0</v>
      </c>
      <c r="Z311">
        <v>0</v>
      </c>
      <c r="AA311">
        <v>0</v>
      </c>
      <c r="AB311">
        <v>0</v>
      </c>
    </row>
    <row r="312" spans="1:28" x14ac:dyDescent="0.3">
      <c r="A312" s="1">
        <v>44084</v>
      </c>
      <c r="B312" t="s">
        <v>117</v>
      </c>
      <c r="C312">
        <v>2</v>
      </c>
      <c r="D312">
        <v>0</v>
      </c>
      <c r="E312">
        <v>0</v>
      </c>
      <c r="F312">
        <v>0</v>
      </c>
      <c r="G312">
        <v>0</v>
      </c>
      <c r="H312">
        <v>0</v>
      </c>
      <c r="I312">
        <v>0</v>
      </c>
      <c r="J312">
        <v>0</v>
      </c>
      <c r="K312">
        <v>0</v>
      </c>
      <c r="L312">
        <v>0</v>
      </c>
      <c r="M312">
        <v>2316883</v>
      </c>
      <c r="N312" t="s">
        <v>118</v>
      </c>
      <c r="O312" t="s">
        <v>119</v>
      </c>
      <c r="P312">
        <v>0</v>
      </c>
      <c r="Q312">
        <v>0</v>
      </c>
      <c r="R312">
        <v>0</v>
      </c>
      <c r="S312">
        <v>0</v>
      </c>
      <c r="T312">
        <v>0</v>
      </c>
      <c r="U312">
        <v>0</v>
      </c>
      <c r="V312">
        <v>0</v>
      </c>
      <c r="W312">
        <v>0</v>
      </c>
      <c r="X312">
        <v>0</v>
      </c>
      <c r="Y312">
        <v>0</v>
      </c>
      <c r="Z312">
        <v>0</v>
      </c>
      <c r="AA312">
        <v>0</v>
      </c>
      <c r="AB312">
        <v>0</v>
      </c>
    </row>
    <row r="313" spans="1:28" x14ac:dyDescent="0.3">
      <c r="A313" s="1">
        <v>44084</v>
      </c>
      <c r="B313" t="s">
        <v>120</v>
      </c>
      <c r="C313">
        <v>1</v>
      </c>
      <c r="D313">
        <v>0</v>
      </c>
      <c r="E313">
        <v>0</v>
      </c>
      <c r="F313">
        <v>0</v>
      </c>
      <c r="G313">
        <v>0</v>
      </c>
      <c r="H313">
        <v>0</v>
      </c>
      <c r="I313">
        <v>0</v>
      </c>
      <c r="J313">
        <v>0</v>
      </c>
      <c r="K313">
        <v>0</v>
      </c>
      <c r="L313">
        <v>0</v>
      </c>
      <c r="M313">
        <v>154911</v>
      </c>
      <c r="N313" t="s">
        <v>121</v>
      </c>
      <c r="O313" t="s">
        <v>122</v>
      </c>
      <c r="P313">
        <v>0</v>
      </c>
      <c r="Q313">
        <v>0</v>
      </c>
      <c r="R313">
        <v>0</v>
      </c>
      <c r="S313">
        <v>0</v>
      </c>
      <c r="T313">
        <v>0</v>
      </c>
      <c r="U313">
        <v>0</v>
      </c>
      <c r="V313">
        <v>0</v>
      </c>
      <c r="W313">
        <v>0</v>
      </c>
      <c r="X313">
        <v>0</v>
      </c>
      <c r="Y313">
        <v>0</v>
      </c>
      <c r="Z313">
        <v>0</v>
      </c>
      <c r="AA313">
        <v>0</v>
      </c>
      <c r="AB313">
        <v>0</v>
      </c>
    </row>
    <row r="314" spans="1:28" x14ac:dyDescent="0.3">
      <c r="A314" s="1">
        <v>44084</v>
      </c>
      <c r="B314" t="s">
        <v>123</v>
      </c>
      <c r="C314">
        <v>1</v>
      </c>
      <c r="D314">
        <v>0</v>
      </c>
      <c r="E314">
        <v>0</v>
      </c>
      <c r="F314">
        <v>0</v>
      </c>
      <c r="G314">
        <v>0</v>
      </c>
      <c r="H314">
        <v>0</v>
      </c>
      <c r="I314">
        <v>0</v>
      </c>
      <c r="J314">
        <v>0</v>
      </c>
      <c r="K314">
        <v>0</v>
      </c>
      <c r="L314">
        <v>0</v>
      </c>
      <c r="M314">
        <v>213636</v>
      </c>
      <c r="N314" t="s">
        <v>124</v>
      </c>
      <c r="O314" t="s">
        <v>125</v>
      </c>
      <c r="P314">
        <v>0</v>
      </c>
      <c r="Q314">
        <v>0</v>
      </c>
      <c r="R314">
        <v>0</v>
      </c>
      <c r="S314">
        <v>0</v>
      </c>
      <c r="T314">
        <v>0</v>
      </c>
      <c r="U314">
        <v>0</v>
      </c>
      <c r="V314">
        <v>0</v>
      </c>
      <c r="W314">
        <v>0</v>
      </c>
      <c r="X314">
        <v>0</v>
      </c>
      <c r="Y314">
        <v>0</v>
      </c>
      <c r="Z314">
        <v>0</v>
      </c>
      <c r="AA314">
        <v>0</v>
      </c>
      <c r="AB314">
        <v>0</v>
      </c>
    </row>
    <row r="315" spans="1:28" x14ac:dyDescent="0.3">
      <c r="A315" s="1">
        <v>44084</v>
      </c>
      <c r="B315" t="s">
        <v>126</v>
      </c>
      <c r="C315">
        <v>1</v>
      </c>
      <c r="D315">
        <v>0</v>
      </c>
      <c r="E315">
        <v>0</v>
      </c>
      <c r="F315">
        <v>0</v>
      </c>
      <c r="G315">
        <v>0</v>
      </c>
      <c r="H315">
        <v>0</v>
      </c>
      <c r="I315">
        <v>0</v>
      </c>
      <c r="J315">
        <v>0</v>
      </c>
      <c r="K315">
        <v>0</v>
      </c>
      <c r="L315">
        <v>0</v>
      </c>
      <c r="M315">
        <v>318676</v>
      </c>
      <c r="N315" t="s">
        <v>127</v>
      </c>
      <c r="O315" t="s">
        <v>128</v>
      </c>
      <c r="P315">
        <v>0</v>
      </c>
      <c r="Q315">
        <v>0</v>
      </c>
      <c r="R315">
        <v>0</v>
      </c>
      <c r="S315">
        <v>0</v>
      </c>
      <c r="T315">
        <v>0</v>
      </c>
      <c r="U315">
        <v>0</v>
      </c>
      <c r="V315">
        <v>0</v>
      </c>
      <c r="W315">
        <v>0</v>
      </c>
      <c r="X315">
        <v>0</v>
      </c>
      <c r="Y315">
        <v>0</v>
      </c>
      <c r="Z315">
        <v>0</v>
      </c>
      <c r="AA315">
        <v>0</v>
      </c>
      <c r="AB315">
        <v>0</v>
      </c>
    </row>
    <row r="316" spans="1:28" x14ac:dyDescent="0.3">
      <c r="A316" s="1">
        <v>44084</v>
      </c>
      <c r="B316" t="s">
        <v>129</v>
      </c>
      <c r="C316">
        <v>1</v>
      </c>
      <c r="D316">
        <v>0</v>
      </c>
      <c r="E316">
        <v>0</v>
      </c>
      <c r="F316">
        <v>0</v>
      </c>
      <c r="G316">
        <v>0</v>
      </c>
      <c r="H316">
        <v>0</v>
      </c>
      <c r="I316">
        <v>0</v>
      </c>
      <c r="J316">
        <v>0</v>
      </c>
      <c r="K316">
        <v>0</v>
      </c>
      <c r="L316">
        <v>0</v>
      </c>
      <c r="M316">
        <v>1140999</v>
      </c>
      <c r="N316" t="s">
        <v>130</v>
      </c>
      <c r="O316" t="s">
        <v>131</v>
      </c>
      <c r="P316">
        <v>0</v>
      </c>
      <c r="Q316">
        <v>0</v>
      </c>
      <c r="R316">
        <v>0</v>
      </c>
      <c r="S316">
        <v>0</v>
      </c>
      <c r="T316">
        <v>0</v>
      </c>
      <c r="U316">
        <v>0</v>
      </c>
      <c r="V316">
        <v>0</v>
      </c>
      <c r="W316">
        <v>0</v>
      </c>
      <c r="X316">
        <v>0</v>
      </c>
      <c r="Y316">
        <v>0</v>
      </c>
      <c r="Z316">
        <v>0</v>
      </c>
      <c r="AA316">
        <v>0</v>
      </c>
      <c r="AB316">
        <v>0</v>
      </c>
    </row>
    <row r="317" spans="1:28" x14ac:dyDescent="0.3">
      <c r="A317" s="1">
        <v>44084</v>
      </c>
      <c r="B317" t="s">
        <v>132</v>
      </c>
      <c r="C317">
        <v>1</v>
      </c>
      <c r="D317">
        <v>0</v>
      </c>
      <c r="E317">
        <v>0</v>
      </c>
      <c r="F317">
        <v>0</v>
      </c>
      <c r="G317">
        <v>0</v>
      </c>
      <c r="H317">
        <v>0</v>
      </c>
      <c r="I317">
        <v>0</v>
      </c>
      <c r="J317">
        <v>0</v>
      </c>
      <c r="K317">
        <v>0</v>
      </c>
      <c r="L317">
        <v>0</v>
      </c>
      <c r="M317">
        <v>1375544</v>
      </c>
      <c r="N317" t="s">
        <v>133</v>
      </c>
      <c r="O317" t="s">
        <v>134</v>
      </c>
      <c r="P317">
        <v>0</v>
      </c>
      <c r="Q317">
        <v>0</v>
      </c>
      <c r="R317">
        <v>0</v>
      </c>
      <c r="S317">
        <v>0</v>
      </c>
      <c r="T317">
        <v>0</v>
      </c>
      <c r="U317">
        <v>0</v>
      </c>
      <c r="V317">
        <v>0</v>
      </c>
      <c r="W317">
        <v>0</v>
      </c>
      <c r="X317">
        <v>0</v>
      </c>
      <c r="Y317">
        <v>0</v>
      </c>
      <c r="Z317">
        <v>0</v>
      </c>
      <c r="AA317">
        <v>0</v>
      </c>
      <c r="AB317">
        <v>0</v>
      </c>
    </row>
    <row r="318" spans="1:28" x14ac:dyDescent="0.3">
      <c r="A318" s="1">
        <v>44084</v>
      </c>
      <c r="B318" t="s">
        <v>135</v>
      </c>
      <c r="C318">
        <v>1</v>
      </c>
      <c r="D318">
        <v>0</v>
      </c>
      <c r="E318">
        <v>0</v>
      </c>
      <c r="F318">
        <v>0</v>
      </c>
      <c r="G318">
        <v>0</v>
      </c>
      <c r="H318">
        <v>0</v>
      </c>
      <c r="I318">
        <v>0</v>
      </c>
      <c r="J318">
        <v>0</v>
      </c>
      <c r="K318">
        <v>0</v>
      </c>
      <c r="L318">
        <v>0</v>
      </c>
      <c r="M318">
        <v>1538097</v>
      </c>
      <c r="N318" t="s">
        <v>136</v>
      </c>
      <c r="O318" t="s">
        <v>137</v>
      </c>
      <c r="P318">
        <v>0</v>
      </c>
      <c r="Q318">
        <v>0</v>
      </c>
      <c r="R318">
        <v>0</v>
      </c>
      <c r="S318">
        <v>0</v>
      </c>
      <c r="T318">
        <v>0</v>
      </c>
      <c r="U318">
        <v>0</v>
      </c>
      <c r="V318">
        <v>0</v>
      </c>
      <c r="W318">
        <v>0</v>
      </c>
      <c r="X318">
        <v>0</v>
      </c>
      <c r="Y318">
        <v>0</v>
      </c>
      <c r="Z318">
        <v>0</v>
      </c>
      <c r="AA318">
        <v>0</v>
      </c>
      <c r="AB318">
        <v>0</v>
      </c>
    </row>
    <row r="319" spans="1:28" x14ac:dyDescent="0.3">
      <c r="A319" s="1">
        <v>44084</v>
      </c>
      <c r="B319" t="s">
        <v>138</v>
      </c>
      <c r="C319">
        <v>1</v>
      </c>
      <c r="D319">
        <v>0</v>
      </c>
      <c r="E319">
        <v>0</v>
      </c>
      <c r="F319">
        <v>0</v>
      </c>
      <c r="G319">
        <v>0</v>
      </c>
      <c r="H319">
        <v>0</v>
      </c>
      <c r="I319">
        <v>0</v>
      </c>
      <c r="J319">
        <v>0</v>
      </c>
      <c r="K319">
        <v>0</v>
      </c>
      <c r="L319">
        <v>0</v>
      </c>
      <c r="M319">
        <v>1578665</v>
      </c>
      <c r="N319" t="s">
        <v>139</v>
      </c>
      <c r="O319" t="s">
        <v>140</v>
      </c>
      <c r="P319">
        <v>0</v>
      </c>
      <c r="Q319">
        <v>0</v>
      </c>
      <c r="R319">
        <v>0</v>
      </c>
      <c r="S319">
        <v>0</v>
      </c>
      <c r="T319">
        <v>0</v>
      </c>
      <c r="U319">
        <v>0</v>
      </c>
      <c r="V319">
        <v>0</v>
      </c>
      <c r="W319">
        <v>0</v>
      </c>
      <c r="X319">
        <v>0</v>
      </c>
      <c r="Y319">
        <v>0</v>
      </c>
      <c r="Z319">
        <v>0</v>
      </c>
      <c r="AA319">
        <v>0</v>
      </c>
      <c r="AB319">
        <v>0</v>
      </c>
    </row>
    <row r="320" spans="1:28" x14ac:dyDescent="0.3">
      <c r="A320" s="1">
        <v>44084</v>
      </c>
      <c r="B320" t="s">
        <v>141</v>
      </c>
      <c r="C320">
        <v>1</v>
      </c>
      <c r="D320">
        <v>0</v>
      </c>
      <c r="E320">
        <v>0</v>
      </c>
      <c r="F320">
        <v>0</v>
      </c>
      <c r="G320">
        <v>0</v>
      </c>
      <c r="H320">
        <v>0</v>
      </c>
      <c r="I320">
        <v>0</v>
      </c>
      <c r="J320">
        <v>0</v>
      </c>
      <c r="K320">
        <v>0</v>
      </c>
      <c r="L320">
        <v>0</v>
      </c>
      <c r="M320">
        <v>1873005</v>
      </c>
      <c r="N320" t="s">
        <v>142</v>
      </c>
      <c r="O320" t="s">
        <v>143</v>
      </c>
      <c r="P320">
        <v>0</v>
      </c>
      <c r="Q320">
        <v>0</v>
      </c>
      <c r="R320">
        <v>0</v>
      </c>
      <c r="S320">
        <v>0</v>
      </c>
      <c r="T320">
        <v>0</v>
      </c>
      <c r="U320">
        <v>0</v>
      </c>
      <c r="V320">
        <v>0</v>
      </c>
      <c r="W320">
        <v>0</v>
      </c>
      <c r="X320">
        <v>0</v>
      </c>
      <c r="Y320">
        <v>0</v>
      </c>
      <c r="Z320">
        <v>0</v>
      </c>
      <c r="AA320">
        <v>0</v>
      </c>
      <c r="AB320">
        <v>0</v>
      </c>
    </row>
    <row r="321" spans="1:28" x14ac:dyDescent="0.3">
      <c r="A321" s="1">
        <v>44084</v>
      </c>
      <c r="B321" t="s">
        <v>144</v>
      </c>
      <c r="C321">
        <v>1</v>
      </c>
      <c r="D321">
        <v>0</v>
      </c>
      <c r="E321">
        <v>0</v>
      </c>
      <c r="F321">
        <v>0</v>
      </c>
      <c r="G321">
        <v>0</v>
      </c>
      <c r="H321">
        <v>0</v>
      </c>
      <c r="I321">
        <v>0</v>
      </c>
      <c r="J321">
        <v>0</v>
      </c>
      <c r="K321">
        <v>0</v>
      </c>
      <c r="L321">
        <v>0</v>
      </c>
      <c r="M321">
        <v>2015681</v>
      </c>
      <c r="N321" t="s">
        <v>145</v>
      </c>
      <c r="O321" t="s">
        <v>146</v>
      </c>
      <c r="P321">
        <v>0</v>
      </c>
      <c r="Q321">
        <v>0</v>
      </c>
      <c r="R321">
        <v>0</v>
      </c>
      <c r="S321">
        <v>0</v>
      </c>
      <c r="T321">
        <v>0</v>
      </c>
      <c r="U321">
        <v>0</v>
      </c>
      <c r="V321">
        <v>0</v>
      </c>
      <c r="W321">
        <v>0</v>
      </c>
      <c r="X321">
        <v>0</v>
      </c>
      <c r="Y321">
        <v>0</v>
      </c>
      <c r="Z321">
        <v>0</v>
      </c>
      <c r="AA321">
        <v>0</v>
      </c>
      <c r="AB321">
        <v>0</v>
      </c>
    </row>
    <row r="322" spans="1:28" x14ac:dyDescent="0.3">
      <c r="A322" s="1">
        <v>44084</v>
      </c>
      <c r="B322" t="s">
        <v>147</v>
      </c>
      <c r="C322">
        <v>1</v>
      </c>
      <c r="D322">
        <v>0</v>
      </c>
      <c r="E322">
        <v>0</v>
      </c>
      <c r="F322">
        <v>0</v>
      </c>
      <c r="G322">
        <v>0</v>
      </c>
      <c r="H322">
        <v>0</v>
      </c>
      <c r="I322">
        <v>0</v>
      </c>
      <c r="J322">
        <v>0</v>
      </c>
      <c r="K322">
        <v>0</v>
      </c>
      <c r="L322">
        <v>0</v>
      </c>
      <c r="M322">
        <v>2075116</v>
      </c>
      <c r="N322" t="s">
        <v>148</v>
      </c>
      <c r="O322" t="s">
        <v>149</v>
      </c>
      <c r="P322">
        <v>0</v>
      </c>
      <c r="Q322">
        <v>0</v>
      </c>
      <c r="R322">
        <v>0</v>
      </c>
      <c r="S322">
        <v>0</v>
      </c>
      <c r="T322">
        <v>0</v>
      </c>
      <c r="U322">
        <v>0</v>
      </c>
      <c r="V322">
        <v>0</v>
      </c>
      <c r="W322">
        <v>0</v>
      </c>
      <c r="X322">
        <v>0</v>
      </c>
      <c r="Y322">
        <v>0</v>
      </c>
      <c r="Z322">
        <v>0</v>
      </c>
      <c r="AA322">
        <v>0</v>
      </c>
      <c r="AB322">
        <v>0</v>
      </c>
    </row>
    <row r="323" spans="1:28" x14ac:dyDescent="0.3">
      <c r="A323" s="1">
        <v>44084</v>
      </c>
      <c r="B323" t="s">
        <v>150</v>
      </c>
      <c r="C323">
        <v>1</v>
      </c>
      <c r="D323">
        <v>0</v>
      </c>
      <c r="E323">
        <v>0</v>
      </c>
      <c r="F323">
        <v>0</v>
      </c>
      <c r="G323">
        <v>0</v>
      </c>
      <c r="H323">
        <v>0</v>
      </c>
      <c r="I323">
        <v>0</v>
      </c>
      <c r="J323">
        <v>0</v>
      </c>
      <c r="K323">
        <v>0</v>
      </c>
      <c r="L323">
        <v>0</v>
      </c>
      <c r="M323">
        <v>2096628</v>
      </c>
      <c r="N323" t="s">
        <v>151</v>
      </c>
      <c r="O323" t="s">
        <v>152</v>
      </c>
      <c r="P323">
        <v>0</v>
      </c>
      <c r="Q323">
        <v>0</v>
      </c>
      <c r="R323">
        <v>0</v>
      </c>
      <c r="S323">
        <v>0</v>
      </c>
      <c r="T323">
        <v>0</v>
      </c>
      <c r="U323">
        <v>0</v>
      </c>
      <c r="V323">
        <v>0</v>
      </c>
      <c r="W323">
        <v>0</v>
      </c>
      <c r="X323">
        <v>0</v>
      </c>
      <c r="Y323">
        <v>0</v>
      </c>
      <c r="Z323">
        <v>0</v>
      </c>
      <c r="AA323">
        <v>0</v>
      </c>
      <c r="AB323">
        <v>0</v>
      </c>
    </row>
    <row r="324" spans="1:28" x14ac:dyDescent="0.3">
      <c r="A324" s="1">
        <v>44084</v>
      </c>
      <c r="B324" t="s">
        <v>153</v>
      </c>
      <c r="C324">
        <v>1</v>
      </c>
      <c r="D324">
        <v>0</v>
      </c>
      <c r="E324">
        <v>0</v>
      </c>
      <c r="F324">
        <v>0</v>
      </c>
      <c r="G324">
        <v>0</v>
      </c>
      <c r="H324">
        <v>0</v>
      </c>
      <c r="I324">
        <v>0</v>
      </c>
      <c r="J324">
        <v>0</v>
      </c>
      <c r="K324">
        <v>0</v>
      </c>
      <c r="L324">
        <v>0</v>
      </c>
      <c r="M324">
        <v>2371233</v>
      </c>
      <c r="N324" t="s">
        <v>154</v>
      </c>
      <c r="O324" t="s">
        <v>155</v>
      </c>
      <c r="P324">
        <v>0</v>
      </c>
      <c r="Q324">
        <v>0</v>
      </c>
      <c r="R324">
        <v>0</v>
      </c>
      <c r="S324">
        <v>0</v>
      </c>
      <c r="T324">
        <v>0</v>
      </c>
      <c r="U324">
        <v>0</v>
      </c>
      <c r="V324">
        <v>0</v>
      </c>
      <c r="W324">
        <v>0</v>
      </c>
      <c r="X324">
        <v>0</v>
      </c>
      <c r="Y324">
        <v>0</v>
      </c>
      <c r="Z324">
        <v>0</v>
      </c>
      <c r="AA324">
        <v>0</v>
      </c>
      <c r="AB324">
        <v>0</v>
      </c>
    </row>
    <row r="325" spans="1:28" x14ac:dyDescent="0.3">
      <c r="A325" s="1">
        <v>44085</v>
      </c>
      <c r="B325" t="s">
        <v>40</v>
      </c>
      <c r="C325">
        <v>49</v>
      </c>
      <c r="D325">
        <v>417.6</v>
      </c>
      <c r="E325">
        <v>0</v>
      </c>
      <c r="F325">
        <v>417.6</v>
      </c>
      <c r="G325">
        <v>2</v>
      </c>
      <c r="H325">
        <v>0</v>
      </c>
      <c r="I325">
        <v>83.52</v>
      </c>
      <c r="J325">
        <v>4.08</v>
      </c>
      <c r="K325">
        <v>170.45</v>
      </c>
      <c r="L325">
        <v>208.8</v>
      </c>
      <c r="M325">
        <v>1088116</v>
      </c>
      <c r="N325" t="s">
        <v>41</v>
      </c>
      <c r="O325" t="s">
        <v>42</v>
      </c>
      <c r="P325">
        <v>2</v>
      </c>
      <c r="Q325">
        <v>0</v>
      </c>
      <c r="R325">
        <v>0</v>
      </c>
      <c r="S325">
        <v>0</v>
      </c>
      <c r="T325">
        <v>0</v>
      </c>
      <c r="U325">
        <v>0</v>
      </c>
      <c r="V325">
        <v>83.52</v>
      </c>
      <c r="W325">
        <v>0</v>
      </c>
      <c r="X325">
        <v>0</v>
      </c>
      <c r="Y325">
        <v>0</v>
      </c>
      <c r="Z325">
        <v>0</v>
      </c>
      <c r="AA325">
        <v>0</v>
      </c>
      <c r="AB325">
        <v>16.7</v>
      </c>
    </row>
    <row r="326" spans="1:28" x14ac:dyDescent="0.3">
      <c r="A326" s="1">
        <v>44085</v>
      </c>
      <c r="B326" t="s">
        <v>28</v>
      </c>
      <c r="C326">
        <v>90</v>
      </c>
      <c r="D326">
        <v>224.1</v>
      </c>
      <c r="E326">
        <v>0</v>
      </c>
      <c r="F326">
        <v>224.1</v>
      </c>
      <c r="G326">
        <v>1</v>
      </c>
      <c r="H326">
        <v>0</v>
      </c>
      <c r="I326">
        <v>33.61</v>
      </c>
      <c r="J326">
        <v>1.1100000000000001</v>
      </c>
      <c r="K326">
        <v>37.340000000000003</v>
      </c>
      <c r="L326">
        <v>224.1</v>
      </c>
      <c r="M326">
        <v>314743</v>
      </c>
      <c r="N326" t="s">
        <v>29</v>
      </c>
      <c r="O326" t="s">
        <v>30</v>
      </c>
      <c r="P326">
        <v>1</v>
      </c>
      <c r="Q326">
        <v>0</v>
      </c>
      <c r="R326">
        <v>0</v>
      </c>
      <c r="S326">
        <v>0</v>
      </c>
      <c r="T326">
        <v>0</v>
      </c>
      <c r="U326">
        <v>0</v>
      </c>
      <c r="V326">
        <v>33.61</v>
      </c>
      <c r="W326">
        <v>0</v>
      </c>
      <c r="X326">
        <v>0</v>
      </c>
      <c r="Y326">
        <v>0</v>
      </c>
      <c r="Z326">
        <v>0</v>
      </c>
      <c r="AA326">
        <v>0</v>
      </c>
      <c r="AB326">
        <v>6.72</v>
      </c>
    </row>
    <row r="327" spans="1:28" x14ac:dyDescent="0.3">
      <c r="A327" s="1">
        <v>44085</v>
      </c>
      <c r="B327" t="s">
        <v>49</v>
      </c>
      <c r="C327">
        <v>46</v>
      </c>
      <c r="D327">
        <v>206.72</v>
      </c>
      <c r="E327">
        <v>0</v>
      </c>
      <c r="F327">
        <v>206.72</v>
      </c>
      <c r="G327">
        <v>1</v>
      </c>
      <c r="H327">
        <v>0</v>
      </c>
      <c r="I327">
        <v>6.2</v>
      </c>
      <c r="J327">
        <v>2.17</v>
      </c>
      <c r="K327">
        <v>13.48</v>
      </c>
      <c r="L327">
        <v>206.72</v>
      </c>
      <c r="M327">
        <v>725033</v>
      </c>
      <c r="N327" t="s">
        <v>50</v>
      </c>
      <c r="O327" t="s">
        <v>51</v>
      </c>
      <c r="P327">
        <v>1</v>
      </c>
      <c r="Q327">
        <v>0</v>
      </c>
      <c r="R327">
        <v>0</v>
      </c>
      <c r="S327">
        <v>0</v>
      </c>
      <c r="T327">
        <v>0</v>
      </c>
      <c r="U327">
        <v>0</v>
      </c>
      <c r="V327">
        <v>6.2</v>
      </c>
      <c r="W327">
        <v>0</v>
      </c>
      <c r="X327">
        <v>0</v>
      </c>
      <c r="Y327">
        <v>0</v>
      </c>
      <c r="Z327">
        <v>0</v>
      </c>
      <c r="AA327">
        <v>0</v>
      </c>
      <c r="AB327">
        <v>1.24</v>
      </c>
    </row>
    <row r="328" spans="1:28" x14ac:dyDescent="0.3">
      <c r="A328" s="1">
        <v>44085</v>
      </c>
      <c r="B328" t="s">
        <v>57</v>
      </c>
      <c r="C328">
        <v>12</v>
      </c>
      <c r="D328">
        <v>199</v>
      </c>
      <c r="E328">
        <v>0</v>
      </c>
      <c r="F328">
        <v>199</v>
      </c>
      <c r="G328">
        <v>1</v>
      </c>
      <c r="H328">
        <v>0</v>
      </c>
      <c r="I328">
        <v>5.97</v>
      </c>
      <c r="J328">
        <v>8.33</v>
      </c>
      <c r="K328">
        <v>49.75</v>
      </c>
      <c r="L328">
        <v>199</v>
      </c>
      <c r="M328">
        <v>2053730</v>
      </c>
      <c r="N328" t="s">
        <v>58</v>
      </c>
      <c r="O328" t="s">
        <v>59</v>
      </c>
      <c r="P328">
        <v>1</v>
      </c>
      <c r="Q328">
        <v>0</v>
      </c>
      <c r="R328">
        <v>0</v>
      </c>
      <c r="S328">
        <v>0</v>
      </c>
      <c r="T328">
        <v>0</v>
      </c>
      <c r="U328">
        <v>0</v>
      </c>
      <c r="V328">
        <v>5.97</v>
      </c>
      <c r="W328">
        <v>0</v>
      </c>
      <c r="X328">
        <v>0</v>
      </c>
      <c r="Y328">
        <v>0</v>
      </c>
      <c r="Z328">
        <v>0</v>
      </c>
      <c r="AA328">
        <v>0</v>
      </c>
      <c r="AB328">
        <v>1.19</v>
      </c>
    </row>
    <row r="329" spans="1:28" x14ac:dyDescent="0.3">
      <c r="A329" s="1">
        <v>44085</v>
      </c>
      <c r="B329" t="s">
        <v>46</v>
      </c>
      <c r="C329">
        <v>16</v>
      </c>
      <c r="D329">
        <v>174.83</v>
      </c>
      <c r="E329">
        <v>0</v>
      </c>
      <c r="F329">
        <v>174.83</v>
      </c>
      <c r="G329">
        <v>1</v>
      </c>
      <c r="H329">
        <v>0</v>
      </c>
      <c r="I329">
        <v>5.24</v>
      </c>
      <c r="J329">
        <v>6.25</v>
      </c>
      <c r="K329">
        <v>32.75</v>
      </c>
      <c r="L329">
        <v>174.83</v>
      </c>
      <c r="M329">
        <v>445875</v>
      </c>
      <c r="N329" t="s">
        <v>47</v>
      </c>
      <c r="O329" t="s">
        <v>48</v>
      </c>
      <c r="P329">
        <v>1</v>
      </c>
      <c r="Q329">
        <v>0</v>
      </c>
      <c r="R329">
        <v>0</v>
      </c>
      <c r="S329">
        <v>0</v>
      </c>
      <c r="T329">
        <v>0</v>
      </c>
      <c r="U329">
        <v>0</v>
      </c>
      <c r="V329">
        <v>5.24</v>
      </c>
      <c r="W329">
        <v>0</v>
      </c>
      <c r="X329">
        <v>0</v>
      </c>
      <c r="Y329">
        <v>0</v>
      </c>
      <c r="Z329">
        <v>0</v>
      </c>
      <c r="AA329">
        <v>0</v>
      </c>
      <c r="AB329">
        <v>1.05</v>
      </c>
    </row>
    <row r="330" spans="1:28" x14ac:dyDescent="0.3">
      <c r="A330" s="1">
        <v>44085</v>
      </c>
      <c r="B330" t="s">
        <v>52</v>
      </c>
      <c r="C330">
        <v>42</v>
      </c>
      <c r="D330">
        <v>0</v>
      </c>
      <c r="E330">
        <v>0</v>
      </c>
      <c r="F330">
        <v>0</v>
      </c>
      <c r="G330">
        <v>0</v>
      </c>
      <c r="H330">
        <v>0</v>
      </c>
      <c r="I330">
        <v>0</v>
      </c>
      <c r="J330">
        <v>0</v>
      </c>
      <c r="K330">
        <v>0</v>
      </c>
      <c r="L330">
        <v>0</v>
      </c>
      <c r="M330">
        <v>1584217</v>
      </c>
      <c r="N330" t="s">
        <v>53</v>
      </c>
      <c r="O330" t="s">
        <v>54</v>
      </c>
      <c r="P330">
        <v>0</v>
      </c>
      <c r="Q330">
        <v>0</v>
      </c>
      <c r="R330">
        <v>0</v>
      </c>
      <c r="S330">
        <v>0</v>
      </c>
      <c r="T330">
        <v>0</v>
      </c>
      <c r="U330">
        <v>0</v>
      </c>
      <c r="V330">
        <v>0</v>
      </c>
      <c r="W330">
        <v>0</v>
      </c>
      <c r="X330">
        <v>0</v>
      </c>
      <c r="Y330">
        <v>0</v>
      </c>
      <c r="Z330">
        <v>0</v>
      </c>
      <c r="AA330">
        <v>0</v>
      </c>
      <c r="AB330">
        <v>0</v>
      </c>
    </row>
    <row r="331" spans="1:28" x14ac:dyDescent="0.3">
      <c r="A331" s="1">
        <v>44085</v>
      </c>
      <c r="B331" t="s">
        <v>60</v>
      </c>
      <c r="C331">
        <v>38</v>
      </c>
      <c r="D331">
        <v>0</v>
      </c>
      <c r="E331">
        <v>0</v>
      </c>
      <c r="F331">
        <v>0</v>
      </c>
      <c r="G331">
        <v>0</v>
      </c>
      <c r="H331">
        <v>0</v>
      </c>
      <c r="I331">
        <v>0</v>
      </c>
      <c r="J331">
        <v>0</v>
      </c>
      <c r="K331">
        <v>0</v>
      </c>
      <c r="L331">
        <v>0</v>
      </c>
      <c r="M331">
        <v>748814</v>
      </c>
      <c r="N331" t="s">
        <v>61</v>
      </c>
      <c r="O331" t="s">
        <v>62</v>
      </c>
      <c r="P331">
        <v>0</v>
      </c>
      <c r="Q331">
        <v>0</v>
      </c>
      <c r="R331">
        <v>0</v>
      </c>
      <c r="S331">
        <v>0</v>
      </c>
      <c r="T331">
        <v>0</v>
      </c>
      <c r="U331">
        <v>0</v>
      </c>
      <c r="V331">
        <v>0</v>
      </c>
      <c r="W331">
        <v>0</v>
      </c>
      <c r="X331">
        <v>0</v>
      </c>
      <c r="Y331">
        <v>0</v>
      </c>
      <c r="Z331">
        <v>0</v>
      </c>
      <c r="AA331">
        <v>0</v>
      </c>
      <c r="AB331">
        <v>0</v>
      </c>
    </row>
    <row r="332" spans="1:28" x14ac:dyDescent="0.3">
      <c r="A332" s="1">
        <v>44085</v>
      </c>
      <c r="B332" t="s">
        <v>43</v>
      </c>
      <c r="C332">
        <v>24</v>
      </c>
      <c r="D332">
        <v>0</v>
      </c>
      <c r="E332">
        <v>0</v>
      </c>
      <c r="F332">
        <v>0</v>
      </c>
      <c r="G332">
        <v>0</v>
      </c>
      <c r="H332">
        <v>0</v>
      </c>
      <c r="I332">
        <v>0</v>
      </c>
      <c r="J332">
        <v>0</v>
      </c>
      <c r="K332">
        <v>0</v>
      </c>
      <c r="L332">
        <v>0</v>
      </c>
      <c r="M332">
        <v>389818</v>
      </c>
      <c r="N332" t="s">
        <v>44</v>
      </c>
      <c r="O332" t="s">
        <v>45</v>
      </c>
      <c r="P332">
        <v>0</v>
      </c>
      <c r="Q332">
        <v>0</v>
      </c>
      <c r="R332">
        <v>0</v>
      </c>
      <c r="S332">
        <v>0</v>
      </c>
      <c r="T332">
        <v>0</v>
      </c>
      <c r="U332">
        <v>0</v>
      </c>
      <c r="V332">
        <v>0</v>
      </c>
      <c r="W332">
        <v>0</v>
      </c>
      <c r="X332">
        <v>0</v>
      </c>
      <c r="Y332">
        <v>0</v>
      </c>
      <c r="Z332">
        <v>0</v>
      </c>
      <c r="AA332">
        <v>0</v>
      </c>
      <c r="AB332">
        <v>0</v>
      </c>
    </row>
    <row r="333" spans="1:28" x14ac:dyDescent="0.3">
      <c r="A333" s="1">
        <v>44085</v>
      </c>
      <c r="B333" t="s">
        <v>55</v>
      </c>
      <c r="C333">
        <v>16</v>
      </c>
      <c r="D333">
        <v>0</v>
      </c>
      <c r="E333">
        <v>0</v>
      </c>
      <c r="F333">
        <v>0</v>
      </c>
      <c r="G333">
        <v>0</v>
      </c>
      <c r="H333">
        <v>0</v>
      </c>
      <c r="I333">
        <v>0</v>
      </c>
      <c r="J333">
        <v>0</v>
      </c>
      <c r="K333">
        <v>0</v>
      </c>
      <c r="L333">
        <v>0</v>
      </c>
      <c r="M333">
        <v>1773960</v>
      </c>
      <c r="N333" t="s">
        <v>35</v>
      </c>
      <c r="O333" t="s">
        <v>56</v>
      </c>
      <c r="P333">
        <v>0</v>
      </c>
      <c r="Q333">
        <v>0</v>
      </c>
      <c r="R333">
        <v>0</v>
      </c>
      <c r="S333">
        <v>0</v>
      </c>
      <c r="T333">
        <v>0</v>
      </c>
      <c r="U333">
        <v>0</v>
      </c>
      <c r="V333">
        <v>0</v>
      </c>
      <c r="W333">
        <v>0</v>
      </c>
      <c r="X333">
        <v>0</v>
      </c>
      <c r="Y333">
        <v>0</v>
      </c>
      <c r="Z333">
        <v>0</v>
      </c>
      <c r="AA333">
        <v>0</v>
      </c>
      <c r="AB333">
        <v>0</v>
      </c>
    </row>
    <row r="334" spans="1:28" x14ac:dyDescent="0.3">
      <c r="A334" s="1">
        <v>44085</v>
      </c>
      <c r="B334" t="s">
        <v>37</v>
      </c>
      <c r="C334">
        <v>15</v>
      </c>
      <c r="D334">
        <v>0</v>
      </c>
      <c r="E334">
        <v>0</v>
      </c>
      <c r="F334">
        <v>0</v>
      </c>
      <c r="G334">
        <v>0</v>
      </c>
      <c r="H334">
        <v>0</v>
      </c>
      <c r="I334">
        <v>0</v>
      </c>
      <c r="J334">
        <v>0</v>
      </c>
      <c r="K334">
        <v>0</v>
      </c>
      <c r="L334">
        <v>0</v>
      </c>
      <c r="M334">
        <v>201285</v>
      </c>
      <c r="N334" t="s">
        <v>38</v>
      </c>
      <c r="O334" t="s">
        <v>39</v>
      </c>
      <c r="P334">
        <v>0</v>
      </c>
      <c r="Q334">
        <v>0</v>
      </c>
      <c r="R334">
        <v>0</v>
      </c>
      <c r="S334">
        <v>0</v>
      </c>
      <c r="T334">
        <v>0</v>
      </c>
      <c r="U334">
        <v>0</v>
      </c>
      <c r="V334">
        <v>0</v>
      </c>
      <c r="W334">
        <v>0</v>
      </c>
      <c r="X334">
        <v>0</v>
      </c>
      <c r="Y334">
        <v>0</v>
      </c>
      <c r="Z334">
        <v>0</v>
      </c>
      <c r="AA334">
        <v>0</v>
      </c>
      <c r="AB334">
        <v>0</v>
      </c>
    </row>
    <row r="335" spans="1:28" x14ac:dyDescent="0.3">
      <c r="A335" s="1">
        <v>44085</v>
      </c>
      <c r="B335" t="s">
        <v>78</v>
      </c>
      <c r="C335">
        <v>8</v>
      </c>
      <c r="D335">
        <v>0</v>
      </c>
      <c r="E335">
        <v>0</v>
      </c>
      <c r="F335">
        <v>0</v>
      </c>
      <c r="G335">
        <v>0</v>
      </c>
      <c r="H335">
        <v>0</v>
      </c>
      <c r="I335">
        <v>0</v>
      </c>
      <c r="J335">
        <v>0</v>
      </c>
      <c r="K335">
        <v>0</v>
      </c>
      <c r="L335">
        <v>0</v>
      </c>
      <c r="M335">
        <v>1014069</v>
      </c>
      <c r="N335" t="s">
        <v>79</v>
      </c>
      <c r="O335" t="s">
        <v>80</v>
      </c>
      <c r="P335">
        <v>0</v>
      </c>
      <c r="Q335">
        <v>0</v>
      </c>
      <c r="R335">
        <v>0</v>
      </c>
      <c r="S335">
        <v>0</v>
      </c>
      <c r="T335">
        <v>0</v>
      </c>
      <c r="U335">
        <v>0</v>
      </c>
      <c r="V335">
        <v>0</v>
      </c>
      <c r="W335">
        <v>0</v>
      </c>
      <c r="X335">
        <v>0</v>
      </c>
      <c r="Y335">
        <v>0</v>
      </c>
      <c r="Z335">
        <v>0</v>
      </c>
      <c r="AA335">
        <v>0</v>
      </c>
      <c r="AB335">
        <v>0</v>
      </c>
    </row>
    <row r="336" spans="1:28" x14ac:dyDescent="0.3">
      <c r="A336" s="1">
        <v>44085</v>
      </c>
      <c r="B336" t="s">
        <v>34</v>
      </c>
      <c r="C336">
        <v>8</v>
      </c>
      <c r="D336">
        <v>0</v>
      </c>
      <c r="E336">
        <v>0</v>
      </c>
      <c r="F336">
        <v>0</v>
      </c>
      <c r="G336">
        <v>0</v>
      </c>
      <c r="H336">
        <v>0</v>
      </c>
      <c r="I336">
        <v>0</v>
      </c>
      <c r="J336">
        <v>0</v>
      </c>
      <c r="K336">
        <v>0</v>
      </c>
      <c r="L336">
        <v>0</v>
      </c>
      <c r="M336">
        <v>2284878</v>
      </c>
      <c r="N336" t="s">
        <v>35</v>
      </c>
      <c r="O336" t="s">
        <v>36</v>
      </c>
      <c r="P336">
        <v>0</v>
      </c>
      <c r="Q336">
        <v>0</v>
      </c>
      <c r="R336">
        <v>0</v>
      </c>
      <c r="S336">
        <v>0</v>
      </c>
      <c r="T336">
        <v>0</v>
      </c>
      <c r="U336">
        <v>0</v>
      </c>
      <c r="V336">
        <v>0</v>
      </c>
      <c r="W336">
        <v>0</v>
      </c>
      <c r="X336">
        <v>0</v>
      </c>
      <c r="Y336">
        <v>0</v>
      </c>
      <c r="Z336">
        <v>0</v>
      </c>
      <c r="AA336">
        <v>0</v>
      </c>
      <c r="AB336">
        <v>0</v>
      </c>
    </row>
    <row r="337" spans="1:28" x14ac:dyDescent="0.3">
      <c r="A337" s="1">
        <v>44085</v>
      </c>
      <c r="B337" t="s">
        <v>93</v>
      </c>
      <c r="C337">
        <v>7</v>
      </c>
      <c r="D337">
        <v>0</v>
      </c>
      <c r="E337">
        <v>0</v>
      </c>
      <c r="F337">
        <v>0</v>
      </c>
      <c r="G337">
        <v>0</v>
      </c>
      <c r="H337">
        <v>0</v>
      </c>
      <c r="I337">
        <v>0</v>
      </c>
      <c r="J337">
        <v>0</v>
      </c>
      <c r="K337">
        <v>0</v>
      </c>
      <c r="L337">
        <v>0</v>
      </c>
      <c r="M337">
        <v>1238556</v>
      </c>
      <c r="N337" t="s">
        <v>94</v>
      </c>
      <c r="O337" t="s">
        <v>95</v>
      </c>
      <c r="P337">
        <v>0</v>
      </c>
      <c r="Q337">
        <v>0</v>
      </c>
      <c r="R337">
        <v>0</v>
      </c>
      <c r="S337">
        <v>0</v>
      </c>
      <c r="T337">
        <v>0</v>
      </c>
      <c r="U337">
        <v>0</v>
      </c>
      <c r="V337">
        <v>0</v>
      </c>
      <c r="W337">
        <v>0</v>
      </c>
      <c r="X337">
        <v>0</v>
      </c>
      <c r="Y337">
        <v>0</v>
      </c>
      <c r="Z337">
        <v>0</v>
      </c>
      <c r="AA337">
        <v>0</v>
      </c>
      <c r="AB337">
        <v>0</v>
      </c>
    </row>
    <row r="338" spans="1:28" x14ac:dyDescent="0.3">
      <c r="A338" s="1">
        <v>44085</v>
      </c>
      <c r="B338" t="s">
        <v>72</v>
      </c>
      <c r="C338">
        <v>6</v>
      </c>
      <c r="D338">
        <v>0</v>
      </c>
      <c r="E338">
        <v>0</v>
      </c>
      <c r="F338">
        <v>0</v>
      </c>
      <c r="G338">
        <v>0</v>
      </c>
      <c r="H338">
        <v>0</v>
      </c>
      <c r="I338">
        <v>0</v>
      </c>
      <c r="J338">
        <v>0</v>
      </c>
      <c r="K338">
        <v>0</v>
      </c>
      <c r="L338">
        <v>0</v>
      </c>
      <c r="M338">
        <v>514792</v>
      </c>
      <c r="N338" t="s">
        <v>73</v>
      </c>
      <c r="O338" t="s">
        <v>74</v>
      </c>
      <c r="P338">
        <v>0</v>
      </c>
      <c r="Q338">
        <v>0</v>
      </c>
      <c r="R338">
        <v>0</v>
      </c>
      <c r="S338">
        <v>0</v>
      </c>
      <c r="T338">
        <v>0</v>
      </c>
      <c r="U338">
        <v>0</v>
      </c>
      <c r="V338">
        <v>0</v>
      </c>
      <c r="W338">
        <v>0</v>
      </c>
      <c r="X338">
        <v>0</v>
      </c>
      <c r="Y338">
        <v>0</v>
      </c>
      <c r="Z338">
        <v>0</v>
      </c>
      <c r="AA338">
        <v>0</v>
      </c>
      <c r="AB338">
        <v>0</v>
      </c>
    </row>
    <row r="339" spans="1:28" x14ac:dyDescent="0.3">
      <c r="A339" s="1">
        <v>44085</v>
      </c>
      <c r="B339" t="s">
        <v>63</v>
      </c>
      <c r="C339">
        <v>4</v>
      </c>
      <c r="D339">
        <v>0</v>
      </c>
      <c r="E339">
        <v>0</v>
      </c>
      <c r="F339">
        <v>0</v>
      </c>
      <c r="G339">
        <v>0</v>
      </c>
      <c r="H339">
        <v>0</v>
      </c>
      <c r="I339">
        <v>0</v>
      </c>
      <c r="J339">
        <v>0</v>
      </c>
      <c r="K339">
        <v>0</v>
      </c>
      <c r="L339">
        <v>0</v>
      </c>
      <c r="M339">
        <v>140995</v>
      </c>
      <c r="N339" t="s">
        <v>64</v>
      </c>
      <c r="O339" t="s">
        <v>65</v>
      </c>
      <c r="P339">
        <v>0</v>
      </c>
      <c r="Q339">
        <v>0</v>
      </c>
      <c r="R339">
        <v>0</v>
      </c>
      <c r="S339">
        <v>0</v>
      </c>
      <c r="T339">
        <v>0</v>
      </c>
      <c r="U339">
        <v>0</v>
      </c>
      <c r="V339">
        <v>0</v>
      </c>
      <c r="W339">
        <v>0</v>
      </c>
      <c r="X339">
        <v>0</v>
      </c>
      <c r="Y339">
        <v>0</v>
      </c>
      <c r="Z339">
        <v>0</v>
      </c>
      <c r="AA339">
        <v>0</v>
      </c>
      <c r="AB339">
        <v>0</v>
      </c>
    </row>
    <row r="340" spans="1:28" x14ac:dyDescent="0.3">
      <c r="A340" s="1">
        <v>44085</v>
      </c>
      <c r="B340" t="s">
        <v>75</v>
      </c>
      <c r="C340">
        <v>4</v>
      </c>
      <c r="D340">
        <v>0</v>
      </c>
      <c r="E340">
        <v>0</v>
      </c>
      <c r="F340">
        <v>0</v>
      </c>
      <c r="G340">
        <v>0</v>
      </c>
      <c r="H340">
        <v>0</v>
      </c>
      <c r="I340">
        <v>0</v>
      </c>
      <c r="J340">
        <v>0</v>
      </c>
      <c r="K340">
        <v>0</v>
      </c>
      <c r="L340">
        <v>0</v>
      </c>
      <c r="M340">
        <v>745788</v>
      </c>
      <c r="N340" t="s">
        <v>76</v>
      </c>
      <c r="O340" t="s">
        <v>77</v>
      </c>
      <c r="P340">
        <v>0</v>
      </c>
      <c r="Q340">
        <v>0</v>
      </c>
      <c r="R340">
        <v>0</v>
      </c>
      <c r="S340">
        <v>0</v>
      </c>
      <c r="T340">
        <v>0</v>
      </c>
      <c r="U340">
        <v>0</v>
      </c>
      <c r="V340">
        <v>0</v>
      </c>
      <c r="W340">
        <v>0</v>
      </c>
      <c r="X340">
        <v>0</v>
      </c>
      <c r="Y340">
        <v>0</v>
      </c>
      <c r="Z340">
        <v>0</v>
      </c>
      <c r="AA340">
        <v>0</v>
      </c>
      <c r="AB340">
        <v>0</v>
      </c>
    </row>
    <row r="341" spans="1:28" x14ac:dyDescent="0.3">
      <c r="A341" s="1">
        <v>44085</v>
      </c>
      <c r="B341" t="s">
        <v>66</v>
      </c>
      <c r="C341">
        <v>3</v>
      </c>
      <c r="D341">
        <v>0</v>
      </c>
      <c r="E341">
        <v>0</v>
      </c>
      <c r="F341">
        <v>0</v>
      </c>
      <c r="G341">
        <v>0</v>
      </c>
      <c r="H341">
        <v>0</v>
      </c>
      <c r="I341">
        <v>0</v>
      </c>
      <c r="J341">
        <v>0</v>
      </c>
      <c r="K341">
        <v>0</v>
      </c>
      <c r="L341">
        <v>0</v>
      </c>
      <c r="M341">
        <v>1413766</v>
      </c>
      <c r="N341" t="s">
        <v>67</v>
      </c>
      <c r="O341" t="s">
        <v>68</v>
      </c>
      <c r="P341">
        <v>0</v>
      </c>
      <c r="Q341">
        <v>0</v>
      </c>
      <c r="R341">
        <v>0</v>
      </c>
      <c r="S341">
        <v>0</v>
      </c>
      <c r="T341">
        <v>0</v>
      </c>
      <c r="U341">
        <v>0</v>
      </c>
      <c r="V341">
        <v>0</v>
      </c>
      <c r="W341">
        <v>0</v>
      </c>
      <c r="X341">
        <v>0</v>
      </c>
      <c r="Y341">
        <v>0</v>
      </c>
      <c r="Z341">
        <v>0</v>
      </c>
      <c r="AA341">
        <v>0</v>
      </c>
      <c r="AB341">
        <v>0</v>
      </c>
    </row>
    <row r="342" spans="1:28" x14ac:dyDescent="0.3">
      <c r="A342" s="1">
        <v>44085</v>
      </c>
      <c r="B342" t="s">
        <v>138</v>
      </c>
      <c r="C342">
        <v>3</v>
      </c>
      <c r="D342">
        <v>0</v>
      </c>
      <c r="E342">
        <v>0</v>
      </c>
      <c r="F342">
        <v>0</v>
      </c>
      <c r="G342">
        <v>0</v>
      </c>
      <c r="H342">
        <v>0</v>
      </c>
      <c r="I342">
        <v>0</v>
      </c>
      <c r="J342">
        <v>0</v>
      </c>
      <c r="K342">
        <v>0</v>
      </c>
      <c r="L342">
        <v>0</v>
      </c>
      <c r="M342">
        <v>1578665</v>
      </c>
      <c r="N342" t="s">
        <v>139</v>
      </c>
      <c r="O342" t="s">
        <v>140</v>
      </c>
      <c r="P342">
        <v>0</v>
      </c>
      <c r="Q342">
        <v>0</v>
      </c>
      <c r="R342">
        <v>0</v>
      </c>
      <c r="S342">
        <v>0</v>
      </c>
      <c r="T342">
        <v>0</v>
      </c>
      <c r="U342">
        <v>0</v>
      </c>
      <c r="V342">
        <v>0</v>
      </c>
      <c r="W342">
        <v>0</v>
      </c>
      <c r="X342">
        <v>0</v>
      </c>
      <c r="Y342">
        <v>0</v>
      </c>
      <c r="Z342">
        <v>0</v>
      </c>
      <c r="AA342">
        <v>0</v>
      </c>
      <c r="AB342">
        <v>0</v>
      </c>
    </row>
    <row r="343" spans="1:28" x14ac:dyDescent="0.3">
      <c r="A343" s="1">
        <v>44085</v>
      </c>
      <c r="B343" t="s">
        <v>90</v>
      </c>
      <c r="C343">
        <v>2</v>
      </c>
      <c r="D343">
        <v>0</v>
      </c>
      <c r="E343">
        <v>0</v>
      </c>
      <c r="F343">
        <v>0</v>
      </c>
      <c r="G343">
        <v>0</v>
      </c>
      <c r="H343">
        <v>0</v>
      </c>
      <c r="I343">
        <v>0</v>
      </c>
      <c r="J343">
        <v>0</v>
      </c>
      <c r="K343">
        <v>0</v>
      </c>
      <c r="L343">
        <v>0</v>
      </c>
      <c r="M343">
        <v>136482</v>
      </c>
      <c r="N343" t="s">
        <v>91</v>
      </c>
      <c r="O343" t="s">
        <v>92</v>
      </c>
      <c r="P343">
        <v>0</v>
      </c>
      <c r="Q343">
        <v>0</v>
      </c>
      <c r="R343">
        <v>0</v>
      </c>
      <c r="S343">
        <v>0</v>
      </c>
      <c r="T343">
        <v>0</v>
      </c>
      <c r="U343">
        <v>0</v>
      </c>
      <c r="V343">
        <v>0</v>
      </c>
      <c r="W343">
        <v>0</v>
      </c>
      <c r="X343">
        <v>0</v>
      </c>
      <c r="Y343">
        <v>0</v>
      </c>
      <c r="Z343">
        <v>0</v>
      </c>
      <c r="AA343">
        <v>0</v>
      </c>
      <c r="AB343">
        <v>0</v>
      </c>
    </row>
    <row r="344" spans="1:28" x14ac:dyDescent="0.3">
      <c r="A344" s="1">
        <v>44085</v>
      </c>
      <c r="B344" t="s">
        <v>99</v>
      </c>
      <c r="C344">
        <v>2</v>
      </c>
      <c r="D344">
        <v>0</v>
      </c>
      <c r="E344">
        <v>0</v>
      </c>
      <c r="F344">
        <v>0</v>
      </c>
      <c r="G344">
        <v>0</v>
      </c>
      <c r="H344">
        <v>0</v>
      </c>
      <c r="I344">
        <v>0</v>
      </c>
      <c r="J344">
        <v>0</v>
      </c>
      <c r="K344">
        <v>0</v>
      </c>
      <c r="L344">
        <v>0</v>
      </c>
      <c r="M344">
        <v>193744</v>
      </c>
      <c r="N344" t="s">
        <v>100</v>
      </c>
      <c r="O344" t="s">
        <v>101</v>
      </c>
      <c r="P344">
        <v>0</v>
      </c>
      <c r="Q344">
        <v>0</v>
      </c>
      <c r="R344">
        <v>0</v>
      </c>
      <c r="S344">
        <v>0</v>
      </c>
      <c r="T344">
        <v>0</v>
      </c>
      <c r="U344">
        <v>0</v>
      </c>
      <c r="V344">
        <v>0</v>
      </c>
      <c r="W344">
        <v>0</v>
      </c>
      <c r="X344">
        <v>0</v>
      </c>
      <c r="Y344">
        <v>0</v>
      </c>
      <c r="Z344">
        <v>0</v>
      </c>
      <c r="AA344">
        <v>0</v>
      </c>
      <c r="AB344">
        <v>0</v>
      </c>
    </row>
    <row r="345" spans="1:28" x14ac:dyDescent="0.3">
      <c r="A345" s="1">
        <v>44085</v>
      </c>
      <c r="B345" t="s">
        <v>87</v>
      </c>
      <c r="C345">
        <v>2</v>
      </c>
      <c r="D345">
        <v>0</v>
      </c>
      <c r="E345">
        <v>0</v>
      </c>
      <c r="F345">
        <v>0</v>
      </c>
      <c r="G345">
        <v>0</v>
      </c>
      <c r="H345">
        <v>0</v>
      </c>
      <c r="I345">
        <v>0</v>
      </c>
      <c r="J345">
        <v>0</v>
      </c>
      <c r="K345">
        <v>0</v>
      </c>
      <c r="L345">
        <v>0</v>
      </c>
      <c r="M345">
        <v>1519404</v>
      </c>
      <c r="N345" t="s">
        <v>88</v>
      </c>
      <c r="O345" t="s">
        <v>89</v>
      </c>
      <c r="P345">
        <v>0</v>
      </c>
      <c r="Q345">
        <v>0</v>
      </c>
      <c r="R345">
        <v>0</v>
      </c>
      <c r="S345">
        <v>0</v>
      </c>
      <c r="T345">
        <v>0</v>
      </c>
      <c r="U345">
        <v>0</v>
      </c>
      <c r="V345">
        <v>0</v>
      </c>
      <c r="W345">
        <v>0</v>
      </c>
      <c r="X345">
        <v>0</v>
      </c>
      <c r="Y345">
        <v>0</v>
      </c>
      <c r="Z345">
        <v>0</v>
      </c>
      <c r="AA345">
        <v>0</v>
      </c>
      <c r="AB345">
        <v>0</v>
      </c>
    </row>
    <row r="346" spans="1:28" x14ac:dyDescent="0.3">
      <c r="A346" s="1">
        <v>44085</v>
      </c>
      <c r="B346" t="s">
        <v>156</v>
      </c>
      <c r="C346">
        <v>2</v>
      </c>
      <c r="D346">
        <v>0</v>
      </c>
      <c r="E346">
        <v>0</v>
      </c>
      <c r="F346">
        <v>0</v>
      </c>
      <c r="G346">
        <v>0</v>
      </c>
      <c r="H346">
        <v>0</v>
      </c>
      <c r="I346">
        <v>0</v>
      </c>
      <c r="J346">
        <v>0</v>
      </c>
      <c r="K346">
        <v>0</v>
      </c>
      <c r="L346">
        <v>0</v>
      </c>
      <c r="M346">
        <v>1738672</v>
      </c>
      <c r="N346" t="s">
        <v>157</v>
      </c>
      <c r="O346" t="s">
        <v>158</v>
      </c>
      <c r="P346">
        <v>0</v>
      </c>
      <c r="Q346">
        <v>0</v>
      </c>
      <c r="R346">
        <v>0</v>
      </c>
      <c r="S346">
        <v>0</v>
      </c>
      <c r="T346">
        <v>0</v>
      </c>
      <c r="U346">
        <v>0</v>
      </c>
      <c r="V346">
        <v>0</v>
      </c>
      <c r="W346">
        <v>0</v>
      </c>
      <c r="X346">
        <v>0</v>
      </c>
      <c r="Y346">
        <v>0</v>
      </c>
      <c r="Z346">
        <v>0</v>
      </c>
      <c r="AA346">
        <v>0</v>
      </c>
      <c r="AB346">
        <v>0</v>
      </c>
    </row>
    <row r="347" spans="1:28" x14ac:dyDescent="0.3">
      <c r="A347" s="1">
        <v>44085</v>
      </c>
      <c r="B347" t="s">
        <v>159</v>
      </c>
      <c r="C347">
        <v>2</v>
      </c>
      <c r="D347">
        <v>0</v>
      </c>
      <c r="E347">
        <v>0</v>
      </c>
      <c r="F347">
        <v>0</v>
      </c>
      <c r="G347">
        <v>0</v>
      </c>
      <c r="H347">
        <v>0</v>
      </c>
      <c r="I347">
        <v>0</v>
      </c>
      <c r="J347">
        <v>0</v>
      </c>
      <c r="K347">
        <v>0</v>
      </c>
      <c r="L347">
        <v>0</v>
      </c>
      <c r="M347">
        <v>2029250</v>
      </c>
      <c r="N347" t="s">
        <v>160</v>
      </c>
      <c r="O347" t="s">
        <v>161</v>
      </c>
      <c r="P347">
        <v>0</v>
      </c>
      <c r="Q347">
        <v>0</v>
      </c>
      <c r="R347">
        <v>0</v>
      </c>
      <c r="S347">
        <v>0</v>
      </c>
      <c r="T347">
        <v>0</v>
      </c>
      <c r="U347">
        <v>0</v>
      </c>
      <c r="V347">
        <v>0</v>
      </c>
      <c r="W347">
        <v>0</v>
      </c>
      <c r="X347">
        <v>0</v>
      </c>
      <c r="Y347">
        <v>0</v>
      </c>
      <c r="Z347">
        <v>0</v>
      </c>
      <c r="AA347">
        <v>0</v>
      </c>
      <c r="AB347">
        <v>0</v>
      </c>
    </row>
    <row r="348" spans="1:28" x14ac:dyDescent="0.3">
      <c r="A348" s="1">
        <v>44085</v>
      </c>
      <c r="B348" t="s">
        <v>120</v>
      </c>
      <c r="C348">
        <v>1</v>
      </c>
      <c r="D348">
        <v>0</v>
      </c>
      <c r="E348">
        <v>0</v>
      </c>
      <c r="F348">
        <v>0</v>
      </c>
      <c r="G348">
        <v>0</v>
      </c>
      <c r="H348">
        <v>0</v>
      </c>
      <c r="I348">
        <v>0</v>
      </c>
      <c r="J348">
        <v>0</v>
      </c>
      <c r="K348">
        <v>0</v>
      </c>
      <c r="L348">
        <v>0</v>
      </c>
      <c r="M348">
        <v>154911</v>
      </c>
      <c r="N348" t="s">
        <v>121</v>
      </c>
      <c r="O348" t="s">
        <v>122</v>
      </c>
      <c r="P348">
        <v>0</v>
      </c>
      <c r="Q348">
        <v>0</v>
      </c>
      <c r="R348">
        <v>0</v>
      </c>
      <c r="S348">
        <v>0</v>
      </c>
      <c r="T348">
        <v>0</v>
      </c>
      <c r="U348">
        <v>0</v>
      </c>
      <c r="V348">
        <v>0</v>
      </c>
      <c r="W348">
        <v>0</v>
      </c>
      <c r="X348">
        <v>0</v>
      </c>
      <c r="Y348">
        <v>0</v>
      </c>
      <c r="Z348">
        <v>0</v>
      </c>
      <c r="AA348">
        <v>0</v>
      </c>
      <c r="AB348">
        <v>0</v>
      </c>
    </row>
    <row r="349" spans="1:28" x14ac:dyDescent="0.3">
      <c r="A349" s="1">
        <v>44085</v>
      </c>
      <c r="B349" t="s">
        <v>123</v>
      </c>
      <c r="C349">
        <v>1</v>
      </c>
      <c r="D349">
        <v>0</v>
      </c>
      <c r="E349">
        <v>0</v>
      </c>
      <c r="F349">
        <v>0</v>
      </c>
      <c r="G349">
        <v>0</v>
      </c>
      <c r="H349">
        <v>0</v>
      </c>
      <c r="I349">
        <v>0</v>
      </c>
      <c r="J349">
        <v>0</v>
      </c>
      <c r="K349">
        <v>0</v>
      </c>
      <c r="L349">
        <v>0</v>
      </c>
      <c r="M349">
        <v>213636</v>
      </c>
      <c r="N349" t="s">
        <v>124</v>
      </c>
      <c r="O349" t="s">
        <v>125</v>
      </c>
      <c r="P349">
        <v>0</v>
      </c>
      <c r="Q349">
        <v>0</v>
      </c>
      <c r="R349">
        <v>0</v>
      </c>
      <c r="S349">
        <v>0</v>
      </c>
      <c r="T349">
        <v>0</v>
      </c>
      <c r="U349">
        <v>0</v>
      </c>
      <c r="V349">
        <v>0</v>
      </c>
      <c r="W349">
        <v>0</v>
      </c>
      <c r="X349">
        <v>0</v>
      </c>
      <c r="Y349">
        <v>0</v>
      </c>
      <c r="Z349">
        <v>0</v>
      </c>
      <c r="AA349">
        <v>0</v>
      </c>
      <c r="AB349">
        <v>0</v>
      </c>
    </row>
    <row r="350" spans="1:28" x14ac:dyDescent="0.3">
      <c r="A350" s="1">
        <v>44085</v>
      </c>
      <c r="B350" t="s">
        <v>126</v>
      </c>
      <c r="C350">
        <v>1</v>
      </c>
      <c r="D350">
        <v>0</v>
      </c>
      <c r="E350">
        <v>0</v>
      </c>
      <c r="F350">
        <v>0</v>
      </c>
      <c r="G350">
        <v>0</v>
      </c>
      <c r="H350">
        <v>0</v>
      </c>
      <c r="I350">
        <v>0</v>
      </c>
      <c r="J350">
        <v>0</v>
      </c>
      <c r="K350">
        <v>0</v>
      </c>
      <c r="L350">
        <v>0</v>
      </c>
      <c r="M350">
        <v>318676</v>
      </c>
      <c r="N350" t="s">
        <v>127</v>
      </c>
      <c r="O350" t="s">
        <v>128</v>
      </c>
      <c r="P350">
        <v>0</v>
      </c>
      <c r="Q350">
        <v>0</v>
      </c>
      <c r="R350">
        <v>0</v>
      </c>
      <c r="S350">
        <v>0</v>
      </c>
      <c r="T350">
        <v>0</v>
      </c>
      <c r="U350">
        <v>0</v>
      </c>
      <c r="V350">
        <v>0</v>
      </c>
      <c r="W350">
        <v>0</v>
      </c>
      <c r="X350">
        <v>0</v>
      </c>
      <c r="Y350">
        <v>0</v>
      </c>
      <c r="Z350">
        <v>0</v>
      </c>
      <c r="AA350">
        <v>0</v>
      </c>
      <c r="AB350">
        <v>0</v>
      </c>
    </row>
    <row r="351" spans="1:28" x14ac:dyDescent="0.3">
      <c r="A351" s="1">
        <v>44085</v>
      </c>
      <c r="B351" t="s">
        <v>162</v>
      </c>
      <c r="C351">
        <v>1</v>
      </c>
      <c r="D351">
        <v>0</v>
      </c>
      <c r="E351">
        <v>0</v>
      </c>
      <c r="F351">
        <v>0</v>
      </c>
      <c r="G351">
        <v>0</v>
      </c>
      <c r="H351">
        <v>0</v>
      </c>
      <c r="I351">
        <v>0</v>
      </c>
      <c r="J351">
        <v>0</v>
      </c>
      <c r="K351">
        <v>0</v>
      </c>
      <c r="L351">
        <v>0</v>
      </c>
      <c r="M351">
        <v>708786</v>
      </c>
      <c r="N351" t="s">
        <v>163</v>
      </c>
      <c r="O351" t="s">
        <v>164</v>
      </c>
      <c r="P351">
        <v>0</v>
      </c>
      <c r="Q351">
        <v>0</v>
      </c>
      <c r="R351">
        <v>0</v>
      </c>
      <c r="S351">
        <v>0</v>
      </c>
      <c r="T351">
        <v>0</v>
      </c>
      <c r="U351">
        <v>0</v>
      </c>
      <c r="V351">
        <v>0</v>
      </c>
      <c r="W351">
        <v>0</v>
      </c>
      <c r="X351">
        <v>0</v>
      </c>
      <c r="Y351">
        <v>0</v>
      </c>
      <c r="Z351">
        <v>0</v>
      </c>
      <c r="AA351">
        <v>0</v>
      </c>
      <c r="AB351">
        <v>0</v>
      </c>
    </row>
    <row r="352" spans="1:28" x14ac:dyDescent="0.3">
      <c r="A352" s="1">
        <v>44085</v>
      </c>
      <c r="B352" t="s">
        <v>165</v>
      </c>
      <c r="C352">
        <v>1</v>
      </c>
      <c r="D352">
        <v>0</v>
      </c>
      <c r="E352">
        <v>0</v>
      </c>
      <c r="F352">
        <v>0</v>
      </c>
      <c r="G352">
        <v>0</v>
      </c>
      <c r="H352">
        <v>0</v>
      </c>
      <c r="I352">
        <v>0</v>
      </c>
      <c r="J352">
        <v>0</v>
      </c>
      <c r="K352">
        <v>0</v>
      </c>
      <c r="L352">
        <v>0</v>
      </c>
      <c r="M352">
        <v>1007528</v>
      </c>
      <c r="N352" t="s">
        <v>166</v>
      </c>
      <c r="O352" t="s">
        <v>167</v>
      </c>
      <c r="P352">
        <v>0</v>
      </c>
      <c r="Q352">
        <v>0</v>
      </c>
      <c r="R352">
        <v>0</v>
      </c>
      <c r="S352">
        <v>0</v>
      </c>
      <c r="T352">
        <v>0</v>
      </c>
      <c r="U352">
        <v>0</v>
      </c>
      <c r="V352">
        <v>0</v>
      </c>
      <c r="W352">
        <v>0</v>
      </c>
      <c r="X352">
        <v>0</v>
      </c>
      <c r="Y352">
        <v>0</v>
      </c>
      <c r="Z352">
        <v>0</v>
      </c>
      <c r="AA352">
        <v>0</v>
      </c>
      <c r="AB352">
        <v>0</v>
      </c>
    </row>
    <row r="353" spans="1:28" x14ac:dyDescent="0.3">
      <c r="A353" s="1">
        <v>44085</v>
      </c>
      <c r="B353" t="s">
        <v>84</v>
      </c>
      <c r="C353">
        <v>1</v>
      </c>
      <c r="D353">
        <v>0</v>
      </c>
      <c r="E353">
        <v>0</v>
      </c>
      <c r="F353">
        <v>0</v>
      </c>
      <c r="G353">
        <v>0</v>
      </c>
      <c r="H353">
        <v>0</v>
      </c>
      <c r="I353">
        <v>0</v>
      </c>
      <c r="J353">
        <v>0</v>
      </c>
      <c r="K353">
        <v>0</v>
      </c>
      <c r="L353">
        <v>0</v>
      </c>
      <c r="M353">
        <v>1242889</v>
      </c>
      <c r="N353" t="s">
        <v>85</v>
      </c>
      <c r="O353" t="s">
        <v>86</v>
      </c>
      <c r="P353">
        <v>0</v>
      </c>
      <c r="Q353">
        <v>0</v>
      </c>
      <c r="R353">
        <v>0</v>
      </c>
      <c r="S353">
        <v>0</v>
      </c>
      <c r="T353">
        <v>0</v>
      </c>
      <c r="U353">
        <v>0</v>
      </c>
      <c r="V353">
        <v>0</v>
      </c>
      <c r="W353">
        <v>0</v>
      </c>
      <c r="X353">
        <v>0</v>
      </c>
      <c r="Y353">
        <v>0</v>
      </c>
      <c r="Z353">
        <v>0</v>
      </c>
      <c r="AA353">
        <v>0</v>
      </c>
      <c r="AB353">
        <v>0</v>
      </c>
    </row>
    <row r="354" spans="1:28" x14ac:dyDescent="0.3">
      <c r="A354" s="1">
        <v>44085</v>
      </c>
      <c r="B354" t="s">
        <v>96</v>
      </c>
      <c r="C354">
        <v>1</v>
      </c>
      <c r="D354">
        <v>0</v>
      </c>
      <c r="E354">
        <v>0</v>
      </c>
      <c r="F354">
        <v>0</v>
      </c>
      <c r="G354">
        <v>0</v>
      </c>
      <c r="H354">
        <v>0</v>
      </c>
      <c r="I354">
        <v>0</v>
      </c>
      <c r="J354">
        <v>0</v>
      </c>
      <c r="K354">
        <v>0</v>
      </c>
      <c r="L354">
        <v>0</v>
      </c>
      <c r="M354">
        <v>1372745</v>
      </c>
      <c r="N354" t="s">
        <v>97</v>
      </c>
      <c r="O354" t="s">
        <v>98</v>
      </c>
      <c r="P354">
        <v>0</v>
      </c>
      <c r="Q354">
        <v>0</v>
      </c>
      <c r="R354">
        <v>0</v>
      </c>
      <c r="S354">
        <v>0</v>
      </c>
      <c r="T354">
        <v>0</v>
      </c>
      <c r="U354">
        <v>0</v>
      </c>
      <c r="V354">
        <v>0</v>
      </c>
      <c r="W354">
        <v>0</v>
      </c>
      <c r="X354">
        <v>0</v>
      </c>
      <c r="Y354">
        <v>0</v>
      </c>
      <c r="Z354">
        <v>0</v>
      </c>
      <c r="AA354">
        <v>0</v>
      </c>
      <c r="AB354">
        <v>0</v>
      </c>
    </row>
    <row r="355" spans="1:28" x14ac:dyDescent="0.3">
      <c r="A355" s="1">
        <v>44085</v>
      </c>
      <c r="B355" t="s">
        <v>132</v>
      </c>
      <c r="C355">
        <v>1</v>
      </c>
      <c r="D355">
        <v>0</v>
      </c>
      <c r="E355">
        <v>0</v>
      </c>
      <c r="F355">
        <v>0</v>
      </c>
      <c r="G355">
        <v>0</v>
      </c>
      <c r="H355">
        <v>0</v>
      </c>
      <c r="I355">
        <v>0</v>
      </c>
      <c r="J355">
        <v>0</v>
      </c>
      <c r="K355">
        <v>0</v>
      </c>
      <c r="L355">
        <v>0</v>
      </c>
      <c r="M355">
        <v>1375544</v>
      </c>
      <c r="N355" t="s">
        <v>133</v>
      </c>
      <c r="O355" t="s">
        <v>134</v>
      </c>
      <c r="P355">
        <v>0</v>
      </c>
      <c r="Q355">
        <v>0</v>
      </c>
      <c r="R355">
        <v>0</v>
      </c>
      <c r="S355">
        <v>0</v>
      </c>
      <c r="T355">
        <v>0</v>
      </c>
      <c r="U355">
        <v>0</v>
      </c>
      <c r="V355">
        <v>0</v>
      </c>
      <c r="W355">
        <v>0</v>
      </c>
      <c r="X355">
        <v>0</v>
      </c>
      <c r="Y355">
        <v>0</v>
      </c>
      <c r="Z355">
        <v>0</v>
      </c>
      <c r="AA355">
        <v>0</v>
      </c>
      <c r="AB355">
        <v>0</v>
      </c>
    </row>
    <row r="356" spans="1:28" x14ac:dyDescent="0.3">
      <c r="A356" s="1">
        <v>44085</v>
      </c>
      <c r="B356" t="s">
        <v>135</v>
      </c>
      <c r="C356">
        <v>1</v>
      </c>
      <c r="D356">
        <v>0</v>
      </c>
      <c r="E356">
        <v>0</v>
      </c>
      <c r="F356">
        <v>0</v>
      </c>
      <c r="G356">
        <v>0</v>
      </c>
      <c r="H356">
        <v>0</v>
      </c>
      <c r="I356">
        <v>0</v>
      </c>
      <c r="J356">
        <v>0</v>
      </c>
      <c r="K356">
        <v>0</v>
      </c>
      <c r="L356">
        <v>0</v>
      </c>
      <c r="M356">
        <v>1538097</v>
      </c>
      <c r="N356" t="s">
        <v>136</v>
      </c>
      <c r="O356" t="s">
        <v>137</v>
      </c>
      <c r="P356">
        <v>0</v>
      </c>
      <c r="Q356">
        <v>0</v>
      </c>
      <c r="R356">
        <v>0</v>
      </c>
      <c r="S356">
        <v>0</v>
      </c>
      <c r="T356">
        <v>0</v>
      </c>
      <c r="U356">
        <v>0</v>
      </c>
      <c r="V356">
        <v>0</v>
      </c>
      <c r="W356">
        <v>0</v>
      </c>
      <c r="X356">
        <v>0</v>
      </c>
      <c r="Y356">
        <v>0</v>
      </c>
      <c r="Z356">
        <v>0</v>
      </c>
      <c r="AA356">
        <v>0</v>
      </c>
      <c r="AB356">
        <v>0</v>
      </c>
    </row>
    <row r="357" spans="1:28" x14ac:dyDescent="0.3">
      <c r="A357" s="1">
        <v>44085</v>
      </c>
      <c r="B357" t="s">
        <v>168</v>
      </c>
      <c r="C357">
        <v>1</v>
      </c>
      <c r="D357">
        <v>0</v>
      </c>
      <c r="E357">
        <v>0</v>
      </c>
      <c r="F357">
        <v>0</v>
      </c>
      <c r="G357">
        <v>0</v>
      </c>
      <c r="H357">
        <v>0</v>
      </c>
      <c r="I357">
        <v>0</v>
      </c>
      <c r="J357">
        <v>0</v>
      </c>
      <c r="K357">
        <v>0</v>
      </c>
      <c r="L357">
        <v>0</v>
      </c>
      <c r="M357">
        <v>1564860</v>
      </c>
      <c r="N357" t="s">
        <v>169</v>
      </c>
      <c r="O357" t="s">
        <v>170</v>
      </c>
      <c r="P357">
        <v>0</v>
      </c>
      <c r="Q357">
        <v>0</v>
      </c>
      <c r="R357">
        <v>0</v>
      </c>
      <c r="S357">
        <v>0</v>
      </c>
      <c r="T357">
        <v>0</v>
      </c>
      <c r="U357">
        <v>0</v>
      </c>
      <c r="V357">
        <v>0</v>
      </c>
      <c r="W357">
        <v>0</v>
      </c>
      <c r="X357">
        <v>0</v>
      </c>
      <c r="Y357">
        <v>0</v>
      </c>
      <c r="Z357">
        <v>0</v>
      </c>
      <c r="AA357">
        <v>0</v>
      </c>
      <c r="AB357">
        <v>0</v>
      </c>
    </row>
    <row r="358" spans="1:28" x14ac:dyDescent="0.3">
      <c r="A358" s="1">
        <v>44085</v>
      </c>
      <c r="B358" t="s">
        <v>171</v>
      </c>
      <c r="C358">
        <v>1</v>
      </c>
      <c r="D358">
        <v>0</v>
      </c>
      <c r="E358">
        <v>0</v>
      </c>
      <c r="F358">
        <v>0</v>
      </c>
      <c r="G358">
        <v>0</v>
      </c>
      <c r="H358">
        <v>0</v>
      </c>
      <c r="I358">
        <v>0</v>
      </c>
      <c r="J358">
        <v>0</v>
      </c>
      <c r="K358">
        <v>0</v>
      </c>
      <c r="L358">
        <v>0</v>
      </c>
      <c r="M358">
        <v>1606247</v>
      </c>
      <c r="N358" t="s">
        <v>172</v>
      </c>
      <c r="O358" t="s">
        <v>173</v>
      </c>
      <c r="P358">
        <v>0</v>
      </c>
      <c r="Q358">
        <v>0</v>
      </c>
      <c r="R358">
        <v>0</v>
      </c>
      <c r="S358">
        <v>0</v>
      </c>
      <c r="T358">
        <v>0</v>
      </c>
      <c r="U358">
        <v>0</v>
      </c>
      <c r="V358">
        <v>0</v>
      </c>
      <c r="W358">
        <v>0</v>
      </c>
      <c r="X358">
        <v>0</v>
      </c>
      <c r="Y358">
        <v>0</v>
      </c>
      <c r="Z358">
        <v>0</v>
      </c>
      <c r="AA358">
        <v>0</v>
      </c>
      <c r="AB358">
        <v>0</v>
      </c>
    </row>
    <row r="359" spans="1:28" x14ac:dyDescent="0.3">
      <c r="A359" s="1">
        <v>44085</v>
      </c>
      <c r="B359" t="s">
        <v>31</v>
      </c>
      <c r="C359">
        <v>1</v>
      </c>
      <c r="D359">
        <v>0</v>
      </c>
      <c r="E359">
        <v>0</v>
      </c>
      <c r="F359">
        <v>0</v>
      </c>
      <c r="G359">
        <v>0</v>
      </c>
      <c r="H359">
        <v>0</v>
      </c>
      <c r="I359">
        <v>0</v>
      </c>
      <c r="J359">
        <v>0</v>
      </c>
      <c r="K359">
        <v>0</v>
      </c>
      <c r="L359">
        <v>0</v>
      </c>
      <c r="M359">
        <v>1663605</v>
      </c>
      <c r="N359" t="s">
        <v>32</v>
      </c>
      <c r="O359" t="s">
        <v>33</v>
      </c>
      <c r="P359">
        <v>0</v>
      </c>
      <c r="Q359">
        <v>0</v>
      </c>
      <c r="R359">
        <v>0</v>
      </c>
      <c r="S359">
        <v>0</v>
      </c>
      <c r="T359">
        <v>0</v>
      </c>
      <c r="U359">
        <v>0</v>
      </c>
      <c r="V359">
        <v>0</v>
      </c>
      <c r="W359">
        <v>0</v>
      </c>
      <c r="X359">
        <v>0</v>
      </c>
      <c r="Y359">
        <v>0</v>
      </c>
      <c r="Z359">
        <v>0</v>
      </c>
      <c r="AA359">
        <v>0</v>
      </c>
      <c r="AB359">
        <v>0</v>
      </c>
    </row>
    <row r="360" spans="1:28" x14ac:dyDescent="0.3">
      <c r="A360" s="1">
        <v>44085</v>
      </c>
      <c r="B360" t="s">
        <v>69</v>
      </c>
      <c r="C360">
        <v>1</v>
      </c>
      <c r="D360">
        <v>0</v>
      </c>
      <c r="E360">
        <v>0</v>
      </c>
      <c r="F360">
        <v>0</v>
      </c>
      <c r="G360">
        <v>0</v>
      </c>
      <c r="H360">
        <v>0</v>
      </c>
      <c r="I360">
        <v>0</v>
      </c>
      <c r="J360">
        <v>0</v>
      </c>
      <c r="K360">
        <v>0</v>
      </c>
      <c r="L360">
        <v>0</v>
      </c>
      <c r="M360">
        <v>1772040</v>
      </c>
      <c r="N360" t="s">
        <v>70</v>
      </c>
      <c r="O360" t="s">
        <v>71</v>
      </c>
      <c r="P360">
        <v>0</v>
      </c>
      <c r="Q360">
        <v>0</v>
      </c>
      <c r="R360">
        <v>0</v>
      </c>
      <c r="S360">
        <v>0</v>
      </c>
      <c r="T360">
        <v>0</v>
      </c>
      <c r="U360">
        <v>0</v>
      </c>
      <c r="V360">
        <v>0</v>
      </c>
      <c r="W360">
        <v>0</v>
      </c>
      <c r="X360">
        <v>0</v>
      </c>
      <c r="Y360">
        <v>0</v>
      </c>
      <c r="Z360">
        <v>0</v>
      </c>
      <c r="AA360">
        <v>0</v>
      </c>
      <c r="AB360">
        <v>0</v>
      </c>
    </row>
    <row r="361" spans="1:28" x14ac:dyDescent="0.3">
      <c r="A361" s="1">
        <v>44085</v>
      </c>
      <c r="B361" t="s">
        <v>174</v>
      </c>
      <c r="C361">
        <v>1</v>
      </c>
      <c r="D361">
        <v>0</v>
      </c>
      <c r="E361">
        <v>0</v>
      </c>
      <c r="F361">
        <v>0</v>
      </c>
      <c r="G361">
        <v>0</v>
      </c>
      <c r="H361">
        <v>0</v>
      </c>
      <c r="I361">
        <v>0</v>
      </c>
      <c r="J361">
        <v>0</v>
      </c>
      <c r="K361">
        <v>0</v>
      </c>
      <c r="L361">
        <v>0</v>
      </c>
      <c r="M361">
        <v>1778626</v>
      </c>
      <c r="N361" t="s">
        <v>175</v>
      </c>
      <c r="O361" t="s">
        <v>176</v>
      </c>
      <c r="P361">
        <v>0</v>
      </c>
      <c r="Q361">
        <v>0</v>
      </c>
      <c r="R361">
        <v>0</v>
      </c>
      <c r="S361">
        <v>0</v>
      </c>
      <c r="T361">
        <v>0</v>
      </c>
      <c r="U361">
        <v>0</v>
      </c>
      <c r="V361">
        <v>0</v>
      </c>
      <c r="W361">
        <v>0</v>
      </c>
      <c r="X361">
        <v>0</v>
      </c>
      <c r="Y361">
        <v>0</v>
      </c>
      <c r="Z361">
        <v>0</v>
      </c>
      <c r="AA361">
        <v>0</v>
      </c>
      <c r="AB361">
        <v>0</v>
      </c>
    </row>
    <row r="362" spans="1:28" x14ac:dyDescent="0.3">
      <c r="A362" s="1">
        <v>44085</v>
      </c>
      <c r="B362" t="s">
        <v>177</v>
      </c>
      <c r="C362">
        <v>1</v>
      </c>
      <c r="D362">
        <v>0</v>
      </c>
      <c r="E362">
        <v>0</v>
      </c>
      <c r="F362">
        <v>0</v>
      </c>
      <c r="G362">
        <v>0</v>
      </c>
      <c r="H362">
        <v>0</v>
      </c>
      <c r="I362">
        <v>0</v>
      </c>
      <c r="J362">
        <v>0</v>
      </c>
      <c r="K362">
        <v>0</v>
      </c>
      <c r="L362">
        <v>0</v>
      </c>
      <c r="M362">
        <v>1869309</v>
      </c>
      <c r="N362" t="s">
        <v>178</v>
      </c>
      <c r="O362" t="s">
        <v>179</v>
      </c>
      <c r="P362">
        <v>0</v>
      </c>
      <c r="Q362">
        <v>0</v>
      </c>
      <c r="R362">
        <v>0</v>
      </c>
      <c r="S362">
        <v>0</v>
      </c>
      <c r="T362">
        <v>0</v>
      </c>
      <c r="U362">
        <v>0</v>
      </c>
      <c r="V362">
        <v>0</v>
      </c>
      <c r="W362">
        <v>0</v>
      </c>
      <c r="X362">
        <v>0</v>
      </c>
      <c r="Y362">
        <v>0</v>
      </c>
      <c r="Z362">
        <v>0</v>
      </c>
      <c r="AA362">
        <v>0</v>
      </c>
      <c r="AB362">
        <v>0</v>
      </c>
    </row>
    <row r="363" spans="1:28" x14ac:dyDescent="0.3">
      <c r="A363" s="1">
        <v>44085</v>
      </c>
      <c r="B363" t="s">
        <v>141</v>
      </c>
      <c r="C363">
        <v>1</v>
      </c>
      <c r="D363">
        <v>0</v>
      </c>
      <c r="E363">
        <v>0</v>
      </c>
      <c r="F363">
        <v>0</v>
      </c>
      <c r="G363">
        <v>0</v>
      </c>
      <c r="H363">
        <v>0</v>
      </c>
      <c r="I363">
        <v>0</v>
      </c>
      <c r="J363">
        <v>0</v>
      </c>
      <c r="K363">
        <v>0</v>
      </c>
      <c r="L363">
        <v>0</v>
      </c>
      <c r="M363">
        <v>1873005</v>
      </c>
      <c r="N363" t="s">
        <v>142</v>
      </c>
      <c r="O363" t="s">
        <v>143</v>
      </c>
      <c r="P363">
        <v>0</v>
      </c>
      <c r="Q363">
        <v>0</v>
      </c>
      <c r="R363">
        <v>0</v>
      </c>
      <c r="S363">
        <v>0</v>
      </c>
      <c r="T363">
        <v>0</v>
      </c>
      <c r="U363">
        <v>0</v>
      </c>
      <c r="V363">
        <v>0</v>
      </c>
      <c r="W363">
        <v>0</v>
      </c>
      <c r="X363">
        <v>0</v>
      </c>
      <c r="Y363">
        <v>0</v>
      </c>
      <c r="Z363">
        <v>0</v>
      </c>
      <c r="AA363">
        <v>0</v>
      </c>
      <c r="AB363">
        <v>0</v>
      </c>
    </row>
    <row r="364" spans="1:28" x14ac:dyDescent="0.3">
      <c r="A364" s="1">
        <v>44085</v>
      </c>
      <c r="B364" t="s">
        <v>147</v>
      </c>
      <c r="C364">
        <v>1</v>
      </c>
      <c r="D364">
        <v>0</v>
      </c>
      <c r="E364">
        <v>0</v>
      </c>
      <c r="F364">
        <v>0</v>
      </c>
      <c r="G364">
        <v>0</v>
      </c>
      <c r="H364">
        <v>0</v>
      </c>
      <c r="I364">
        <v>0</v>
      </c>
      <c r="J364">
        <v>0</v>
      </c>
      <c r="K364">
        <v>0</v>
      </c>
      <c r="L364">
        <v>0</v>
      </c>
      <c r="M364">
        <v>2075116</v>
      </c>
      <c r="N364" t="s">
        <v>148</v>
      </c>
      <c r="O364" t="s">
        <v>149</v>
      </c>
      <c r="P364">
        <v>0</v>
      </c>
      <c r="Q364">
        <v>0</v>
      </c>
      <c r="R364">
        <v>0</v>
      </c>
      <c r="S364">
        <v>0</v>
      </c>
      <c r="T364">
        <v>0</v>
      </c>
      <c r="U364">
        <v>0</v>
      </c>
      <c r="V364">
        <v>0</v>
      </c>
      <c r="W364">
        <v>0</v>
      </c>
      <c r="X364">
        <v>0</v>
      </c>
      <c r="Y364">
        <v>0</v>
      </c>
      <c r="Z364">
        <v>0</v>
      </c>
      <c r="AA364">
        <v>0</v>
      </c>
      <c r="AB364">
        <v>0</v>
      </c>
    </row>
    <row r="365" spans="1:28" x14ac:dyDescent="0.3">
      <c r="A365" s="1">
        <v>44085</v>
      </c>
      <c r="B365" t="s">
        <v>117</v>
      </c>
      <c r="C365">
        <v>1</v>
      </c>
      <c r="D365">
        <v>0</v>
      </c>
      <c r="E365">
        <v>0</v>
      </c>
      <c r="F365">
        <v>0</v>
      </c>
      <c r="G365">
        <v>0</v>
      </c>
      <c r="H365">
        <v>0</v>
      </c>
      <c r="I365">
        <v>0</v>
      </c>
      <c r="J365">
        <v>0</v>
      </c>
      <c r="K365">
        <v>0</v>
      </c>
      <c r="L365">
        <v>0</v>
      </c>
      <c r="M365">
        <v>2316883</v>
      </c>
      <c r="N365" t="s">
        <v>118</v>
      </c>
      <c r="O365" t="s">
        <v>119</v>
      </c>
      <c r="P365">
        <v>0</v>
      </c>
      <c r="Q365">
        <v>0</v>
      </c>
      <c r="R365">
        <v>0</v>
      </c>
      <c r="S365">
        <v>0</v>
      </c>
      <c r="T365">
        <v>0</v>
      </c>
      <c r="U365">
        <v>0</v>
      </c>
      <c r="V365">
        <v>0</v>
      </c>
      <c r="W365">
        <v>0</v>
      </c>
      <c r="X365">
        <v>0</v>
      </c>
      <c r="Y365">
        <v>0</v>
      </c>
      <c r="Z365">
        <v>0</v>
      </c>
      <c r="AA365">
        <v>0</v>
      </c>
      <c r="AB365">
        <v>0</v>
      </c>
    </row>
    <row r="366" spans="1:28" x14ac:dyDescent="0.3">
      <c r="A366" s="1">
        <v>44085</v>
      </c>
      <c r="B366" t="s">
        <v>180</v>
      </c>
      <c r="C366">
        <v>1</v>
      </c>
      <c r="D366">
        <v>0</v>
      </c>
      <c r="E366">
        <v>0</v>
      </c>
      <c r="F366">
        <v>0</v>
      </c>
      <c r="G366">
        <v>0</v>
      </c>
      <c r="H366">
        <v>0</v>
      </c>
      <c r="I366">
        <v>0</v>
      </c>
      <c r="J366">
        <v>0</v>
      </c>
      <c r="K366">
        <v>0</v>
      </c>
      <c r="L366">
        <v>0</v>
      </c>
      <c r="M366">
        <v>2364026</v>
      </c>
      <c r="N366" t="s">
        <v>181</v>
      </c>
      <c r="O366" t="s">
        <v>182</v>
      </c>
      <c r="P366">
        <v>0</v>
      </c>
      <c r="Q366">
        <v>0</v>
      </c>
      <c r="R366">
        <v>0</v>
      </c>
      <c r="S366">
        <v>0</v>
      </c>
      <c r="T366">
        <v>0</v>
      </c>
      <c r="U366">
        <v>0</v>
      </c>
      <c r="V366">
        <v>0</v>
      </c>
      <c r="W366">
        <v>0</v>
      </c>
      <c r="X366">
        <v>0</v>
      </c>
      <c r="Y366">
        <v>0</v>
      </c>
      <c r="Z366">
        <v>0</v>
      </c>
      <c r="AA366">
        <v>0</v>
      </c>
      <c r="AB366">
        <v>0</v>
      </c>
    </row>
    <row r="367" spans="1:28" x14ac:dyDescent="0.3">
      <c r="A367" s="1">
        <v>44085</v>
      </c>
      <c r="B367" t="s">
        <v>153</v>
      </c>
      <c r="C367">
        <v>1</v>
      </c>
      <c r="D367">
        <v>0</v>
      </c>
      <c r="E367">
        <v>0</v>
      </c>
      <c r="F367">
        <v>0</v>
      </c>
      <c r="G367">
        <v>0</v>
      </c>
      <c r="H367">
        <v>0</v>
      </c>
      <c r="I367">
        <v>0</v>
      </c>
      <c r="J367">
        <v>0</v>
      </c>
      <c r="K367">
        <v>0</v>
      </c>
      <c r="L367">
        <v>0</v>
      </c>
      <c r="M367">
        <v>2371233</v>
      </c>
      <c r="N367" t="s">
        <v>154</v>
      </c>
      <c r="O367" t="s">
        <v>155</v>
      </c>
      <c r="P367">
        <v>0</v>
      </c>
      <c r="Q367">
        <v>0</v>
      </c>
      <c r="R367">
        <v>0</v>
      </c>
      <c r="S367">
        <v>0</v>
      </c>
      <c r="T367">
        <v>0</v>
      </c>
      <c r="U367">
        <v>0</v>
      </c>
      <c r="V367">
        <v>0</v>
      </c>
      <c r="W367">
        <v>0</v>
      </c>
      <c r="X367">
        <v>0</v>
      </c>
      <c r="Y367">
        <v>0</v>
      </c>
      <c r="Z367">
        <v>0</v>
      </c>
      <c r="AA367">
        <v>0</v>
      </c>
      <c r="AB367">
        <v>0</v>
      </c>
    </row>
    <row r="368" spans="1:28" x14ac:dyDescent="0.3">
      <c r="A368" s="1">
        <v>44086</v>
      </c>
      <c r="B368" t="s">
        <v>46</v>
      </c>
      <c r="C368">
        <v>9</v>
      </c>
      <c r="D368">
        <v>421.8</v>
      </c>
      <c r="E368">
        <v>0</v>
      </c>
      <c r="F368">
        <v>421.8</v>
      </c>
      <c r="G368">
        <v>1</v>
      </c>
      <c r="H368">
        <v>0</v>
      </c>
      <c r="I368">
        <v>12.65</v>
      </c>
      <c r="J368">
        <v>11.11</v>
      </c>
      <c r="K368">
        <v>140.56</v>
      </c>
      <c r="L368">
        <v>421.8</v>
      </c>
      <c r="M368">
        <v>445875</v>
      </c>
      <c r="N368" t="s">
        <v>47</v>
      </c>
      <c r="O368" t="s">
        <v>48</v>
      </c>
      <c r="P368">
        <v>1</v>
      </c>
      <c r="Q368">
        <v>0</v>
      </c>
      <c r="R368">
        <v>0</v>
      </c>
      <c r="S368">
        <v>0</v>
      </c>
      <c r="T368">
        <v>0</v>
      </c>
      <c r="U368">
        <v>0</v>
      </c>
      <c r="V368">
        <v>12.65</v>
      </c>
      <c r="W368">
        <v>0</v>
      </c>
      <c r="X368">
        <v>0</v>
      </c>
      <c r="Y368">
        <v>0</v>
      </c>
      <c r="Z368">
        <v>0</v>
      </c>
      <c r="AA368">
        <v>0</v>
      </c>
      <c r="AB368">
        <v>2.5299999999999998</v>
      </c>
    </row>
    <row r="369" spans="1:28" x14ac:dyDescent="0.3">
      <c r="A369" s="1">
        <v>44086</v>
      </c>
      <c r="B369" t="s">
        <v>87</v>
      </c>
      <c r="C369">
        <v>1</v>
      </c>
      <c r="D369">
        <v>260.10000000000002</v>
      </c>
      <c r="E369">
        <v>0</v>
      </c>
      <c r="F369">
        <v>260.10000000000002</v>
      </c>
      <c r="G369">
        <v>1</v>
      </c>
      <c r="H369">
        <v>0</v>
      </c>
      <c r="I369">
        <v>7.8</v>
      </c>
      <c r="J369">
        <v>100</v>
      </c>
      <c r="K369">
        <v>780</v>
      </c>
      <c r="L369">
        <v>260.10000000000002</v>
      </c>
      <c r="M369">
        <v>1519404</v>
      </c>
      <c r="N369" t="s">
        <v>88</v>
      </c>
      <c r="O369" t="s">
        <v>89</v>
      </c>
      <c r="P369">
        <v>1</v>
      </c>
      <c r="Q369">
        <v>0</v>
      </c>
      <c r="R369">
        <v>0</v>
      </c>
      <c r="S369">
        <v>0</v>
      </c>
      <c r="T369">
        <v>0</v>
      </c>
      <c r="U369">
        <v>0</v>
      </c>
      <c r="V369">
        <v>7.8</v>
      </c>
      <c r="W369">
        <v>0</v>
      </c>
      <c r="X369">
        <v>0</v>
      </c>
      <c r="Y369">
        <v>0</v>
      </c>
      <c r="Z369">
        <v>0</v>
      </c>
      <c r="AA369">
        <v>0</v>
      </c>
      <c r="AB369">
        <v>1.56</v>
      </c>
    </row>
    <row r="370" spans="1:28" x14ac:dyDescent="0.3">
      <c r="A370" s="1">
        <v>44086</v>
      </c>
      <c r="B370" t="s">
        <v>28</v>
      </c>
      <c r="C370">
        <v>108</v>
      </c>
      <c r="D370">
        <v>199</v>
      </c>
      <c r="E370">
        <v>0</v>
      </c>
      <c r="F370">
        <v>199</v>
      </c>
      <c r="G370">
        <v>1</v>
      </c>
      <c r="H370">
        <v>0</v>
      </c>
      <c r="I370">
        <v>29.85</v>
      </c>
      <c r="J370">
        <v>0.93</v>
      </c>
      <c r="K370">
        <v>27.64</v>
      </c>
      <c r="L370">
        <v>199</v>
      </c>
      <c r="M370">
        <v>314743</v>
      </c>
      <c r="N370" t="s">
        <v>29</v>
      </c>
      <c r="O370" t="s">
        <v>30</v>
      </c>
      <c r="P370">
        <v>1</v>
      </c>
      <c r="Q370">
        <v>0</v>
      </c>
      <c r="R370">
        <v>0</v>
      </c>
      <c r="S370">
        <v>0</v>
      </c>
      <c r="T370">
        <v>0</v>
      </c>
      <c r="U370">
        <v>0</v>
      </c>
      <c r="V370">
        <v>29.85</v>
      </c>
      <c r="W370">
        <v>0</v>
      </c>
      <c r="X370">
        <v>0</v>
      </c>
      <c r="Y370">
        <v>0</v>
      </c>
      <c r="Z370">
        <v>0</v>
      </c>
      <c r="AA370">
        <v>0</v>
      </c>
      <c r="AB370">
        <v>5.97</v>
      </c>
    </row>
    <row r="371" spans="1:28" x14ac:dyDescent="0.3">
      <c r="A371" s="1">
        <v>44086</v>
      </c>
      <c r="B371" t="s">
        <v>183</v>
      </c>
      <c r="C371">
        <v>1</v>
      </c>
      <c r="D371">
        <v>96</v>
      </c>
      <c r="E371">
        <v>0</v>
      </c>
      <c r="F371">
        <v>96</v>
      </c>
      <c r="G371">
        <v>1</v>
      </c>
      <c r="H371">
        <v>0</v>
      </c>
      <c r="I371">
        <v>2.88</v>
      </c>
      <c r="J371">
        <v>100</v>
      </c>
      <c r="K371">
        <v>288</v>
      </c>
      <c r="L371">
        <v>96</v>
      </c>
      <c r="M371">
        <v>1250612</v>
      </c>
      <c r="N371" t="s">
        <v>184</v>
      </c>
      <c r="O371" t="s">
        <v>185</v>
      </c>
      <c r="P371">
        <v>1</v>
      </c>
      <c r="Q371">
        <v>0</v>
      </c>
      <c r="R371">
        <v>0</v>
      </c>
      <c r="S371">
        <v>0</v>
      </c>
      <c r="T371">
        <v>0</v>
      </c>
      <c r="U371">
        <v>0</v>
      </c>
      <c r="V371">
        <v>2.88</v>
      </c>
      <c r="W371">
        <v>0</v>
      </c>
      <c r="X371">
        <v>0</v>
      </c>
      <c r="Y371">
        <v>0</v>
      </c>
      <c r="Z371">
        <v>0</v>
      </c>
      <c r="AA371">
        <v>0</v>
      </c>
      <c r="AB371">
        <v>0.57999999999999996</v>
      </c>
    </row>
    <row r="372" spans="1:28" x14ac:dyDescent="0.3">
      <c r="A372" s="1">
        <v>44086</v>
      </c>
      <c r="B372" t="s">
        <v>52</v>
      </c>
      <c r="C372">
        <v>53</v>
      </c>
      <c r="D372">
        <v>0</v>
      </c>
      <c r="E372">
        <v>0</v>
      </c>
      <c r="F372">
        <v>0</v>
      </c>
      <c r="G372">
        <v>0</v>
      </c>
      <c r="H372">
        <v>0</v>
      </c>
      <c r="I372">
        <v>0</v>
      </c>
      <c r="J372">
        <v>0</v>
      </c>
      <c r="K372">
        <v>0</v>
      </c>
      <c r="L372">
        <v>0</v>
      </c>
      <c r="M372">
        <v>1584217</v>
      </c>
      <c r="N372" t="s">
        <v>53</v>
      </c>
      <c r="O372" t="s">
        <v>54</v>
      </c>
      <c r="P372">
        <v>0</v>
      </c>
      <c r="Q372">
        <v>0</v>
      </c>
      <c r="R372">
        <v>0</v>
      </c>
      <c r="S372">
        <v>0</v>
      </c>
      <c r="T372">
        <v>0</v>
      </c>
      <c r="U372">
        <v>0</v>
      </c>
      <c r="V372">
        <v>0</v>
      </c>
      <c r="W372">
        <v>0</v>
      </c>
      <c r="X372">
        <v>0</v>
      </c>
      <c r="Y372">
        <v>0</v>
      </c>
      <c r="Z372">
        <v>0</v>
      </c>
      <c r="AA372">
        <v>0</v>
      </c>
      <c r="AB372">
        <v>0</v>
      </c>
    </row>
    <row r="373" spans="1:28" x14ac:dyDescent="0.3">
      <c r="A373" s="1">
        <v>44086</v>
      </c>
      <c r="B373" t="s">
        <v>49</v>
      </c>
      <c r="C373">
        <v>50</v>
      </c>
      <c r="D373">
        <v>0</v>
      </c>
      <c r="E373">
        <v>0</v>
      </c>
      <c r="F373">
        <v>0</v>
      </c>
      <c r="G373">
        <v>0</v>
      </c>
      <c r="H373">
        <v>0</v>
      </c>
      <c r="I373">
        <v>0</v>
      </c>
      <c r="J373">
        <v>0</v>
      </c>
      <c r="K373">
        <v>0</v>
      </c>
      <c r="L373">
        <v>0</v>
      </c>
      <c r="M373">
        <v>725033</v>
      </c>
      <c r="N373" t="s">
        <v>50</v>
      </c>
      <c r="O373" t="s">
        <v>51</v>
      </c>
      <c r="P373">
        <v>0</v>
      </c>
      <c r="Q373">
        <v>0</v>
      </c>
      <c r="R373">
        <v>0</v>
      </c>
      <c r="S373">
        <v>0</v>
      </c>
      <c r="T373">
        <v>0</v>
      </c>
      <c r="U373">
        <v>0</v>
      </c>
      <c r="V373">
        <v>0</v>
      </c>
      <c r="W373">
        <v>0</v>
      </c>
      <c r="X373">
        <v>0</v>
      </c>
      <c r="Y373">
        <v>0</v>
      </c>
      <c r="Z373">
        <v>0</v>
      </c>
      <c r="AA373">
        <v>0</v>
      </c>
      <c r="AB373">
        <v>0</v>
      </c>
    </row>
    <row r="374" spans="1:28" x14ac:dyDescent="0.3">
      <c r="A374" s="1">
        <v>44086</v>
      </c>
      <c r="B374" t="s">
        <v>40</v>
      </c>
      <c r="C374">
        <v>43</v>
      </c>
      <c r="D374">
        <v>0</v>
      </c>
      <c r="E374">
        <v>0</v>
      </c>
      <c r="F374">
        <v>0</v>
      </c>
      <c r="G374">
        <v>0</v>
      </c>
      <c r="H374">
        <v>0</v>
      </c>
      <c r="I374">
        <v>0</v>
      </c>
      <c r="J374">
        <v>0</v>
      </c>
      <c r="K374">
        <v>0</v>
      </c>
      <c r="L374">
        <v>0</v>
      </c>
      <c r="M374">
        <v>1088116</v>
      </c>
      <c r="N374" t="s">
        <v>41</v>
      </c>
      <c r="O374" t="s">
        <v>42</v>
      </c>
      <c r="P374">
        <v>0</v>
      </c>
      <c r="Q374">
        <v>0</v>
      </c>
      <c r="R374">
        <v>0</v>
      </c>
      <c r="S374">
        <v>0</v>
      </c>
      <c r="T374">
        <v>0</v>
      </c>
      <c r="U374">
        <v>0</v>
      </c>
      <c r="V374">
        <v>0</v>
      </c>
      <c r="W374">
        <v>0</v>
      </c>
      <c r="X374">
        <v>0</v>
      </c>
      <c r="Y374">
        <v>0</v>
      </c>
      <c r="Z374">
        <v>0</v>
      </c>
      <c r="AA374">
        <v>0</v>
      </c>
      <c r="AB374">
        <v>0</v>
      </c>
    </row>
    <row r="375" spans="1:28" x14ac:dyDescent="0.3">
      <c r="A375" s="1">
        <v>44086</v>
      </c>
      <c r="B375" t="s">
        <v>43</v>
      </c>
      <c r="C375">
        <v>23</v>
      </c>
      <c r="D375">
        <v>0</v>
      </c>
      <c r="E375">
        <v>0</v>
      </c>
      <c r="F375">
        <v>0</v>
      </c>
      <c r="G375">
        <v>0</v>
      </c>
      <c r="H375">
        <v>0</v>
      </c>
      <c r="I375">
        <v>0</v>
      </c>
      <c r="J375">
        <v>0</v>
      </c>
      <c r="K375">
        <v>0</v>
      </c>
      <c r="L375">
        <v>0</v>
      </c>
      <c r="M375">
        <v>389818</v>
      </c>
      <c r="N375" t="s">
        <v>44</v>
      </c>
      <c r="O375" t="s">
        <v>45</v>
      </c>
      <c r="P375">
        <v>0</v>
      </c>
      <c r="Q375">
        <v>0</v>
      </c>
      <c r="R375">
        <v>0</v>
      </c>
      <c r="S375">
        <v>0</v>
      </c>
      <c r="T375">
        <v>0</v>
      </c>
      <c r="U375">
        <v>0</v>
      </c>
      <c r="V375">
        <v>0</v>
      </c>
      <c r="W375">
        <v>0</v>
      </c>
      <c r="X375">
        <v>0</v>
      </c>
      <c r="Y375">
        <v>0</v>
      </c>
      <c r="Z375">
        <v>0</v>
      </c>
      <c r="AA375">
        <v>0</v>
      </c>
      <c r="AB375">
        <v>0</v>
      </c>
    </row>
    <row r="376" spans="1:28" x14ac:dyDescent="0.3">
      <c r="A376" s="1">
        <v>44086</v>
      </c>
      <c r="B376" t="s">
        <v>57</v>
      </c>
      <c r="C376">
        <v>22</v>
      </c>
      <c r="D376">
        <v>0</v>
      </c>
      <c r="E376">
        <v>0</v>
      </c>
      <c r="F376">
        <v>0</v>
      </c>
      <c r="G376">
        <v>0</v>
      </c>
      <c r="H376">
        <v>0</v>
      </c>
      <c r="I376">
        <v>0</v>
      </c>
      <c r="J376">
        <v>0</v>
      </c>
      <c r="K376">
        <v>0</v>
      </c>
      <c r="L376">
        <v>0</v>
      </c>
      <c r="M376">
        <v>2053730</v>
      </c>
      <c r="N376" t="s">
        <v>58</v>
      </c>
      <c r="O376" t="s">
        <v>59</v>
      </c>
      <c r="P376">
        <v>0</v>
      </c>
      <c r="Q376">
        <v>0</v>
      </c>
      <c r="R376">
        <v>0</v>
      </c>
      <c r="S376">
        <v>0</v>
      </c>
      <c r="T376">
        <v>0</v>
      </c>
      <c r="U376">
        <v>0</v>
      </c>
      <c r="V376">
        <v>0</v>
      </c>
      <c r="W376">
        <v>0</v>
      </c>
      <c r="X376">
        <v>0</v>
      </c>
      <c r="Y376">
        <v>0</v>
      </c>
      <c r="Z376">
        <v>0</v>
      </c>
      <c r="AA376">
        <v>0</v>
      </c>
      <c r="AB376">
        <v>0</v>
      </c>
    </row>
    <row r="377" spans="1:28" x14ac:dyDescent="0.3">
      <c r="A377" s="1">
        <v>44086</v>
      </c>
      <c r="B377" t="s">
        <v>55</v>
      </c>
      <c r="C377">
        <v>18</v>
      </c>
      <c r="D377">
        <v>0</v>
      </c>
      <c r="E377">
        <v>0</v>
      </c>
      <c r="F377">
        <v>0</v>
      </c>
      <c r="G377">
        <v>0</v>
      </c>
      <c r="H377">
        <v>0</v>
      </c>
      <c r="I377">
        <v>0</v>
      </c>
      <c r="J377">
        <v>0</v>
      </c>
      <c r="K377">
        <v>0</v>
      </c>
      <c r="L377">
        <v>0</v>
      </c>
      <c r="M377">
        <v>1773960</v>
      </c>
      <c r="N377" t="s">
        <v>35</v>
      </c>
      <c r="O377" t="s">
        <v>56</v>
      </c>
      <c r="P377">
        <v>0</v>
      </c>
      <c r="Q377">
        <v>0</v>
      </c>
      <c r="R377">
        <v>0</v>
      </c>
      <c r="S377">
        <v>0</v>
      </c>
      <c r="T377">
        <v>0</v>
      </c>
      <c r="U377">
        <v>0</v>
      </c>
      <c r="V377">
        <v>0</v>
      </c>
      <c r="W377">
        <v>0</v>
      </c>
      <c r="X377">
        <v>0</v>
      </c>
      <c r="Y377">
        <v>0</v>
      </c>
      <c r="Z377">
        <v>0</v>
      </c>
      <c r="AA377">
        <v>0</v>
      </c>
      <c r="AB377">
        <v>0</v>
      </c>
    </row>
    <row r="378" spans="1:28" x14ac:dyDescent="0.3">
      <c r="A378" s="1">
        <v>44086</v>
      </c>
      <c r="B378" t="s">
        <v>60</v>
      </c>
      <c r="C378">
        <v>12</v>
      </c>
      <c r="D378">
        <v>0</v>
      </c>
      <c r="E378">
        <v>0</v>
      </c>
      <c r="F378">
        <v>0</v>
      </c>
      <c r="G378">
        <v>0</v>
      </c>
      <c r="H378">
        <v>0</v>
      </c>
      <c r="I378">
        <v>0</v>
      </c>
      <c r="J378">
        <v>0</v>
      </c>
      <c r="K378">
        <v>0</v>
      </c>
      <c r="L378">
        <v>0</v>
      </c>
      <c r="M378">
        <v>748814</v>
      </c>
      <c r="N378" t="s">
        <v>61</v>
      </c>
      <c r="O378" t="s">
        <v>62</v>
      </c>
      <c r="P378">
        <v>0</v>
      </c>
      <c r="Q378">
        <v>0</v>
      </c>
      <c r="R378">
        <v>0</v>
      </c>
      <c r="S378">
        <v>0</v>
      </c>
      <c r="T378">
        <v>0</v>
      </c>
      <c r="U378">
        <v>0</v>
      </c>
      <c r="V378">
        <v>0</v>
      </c>
      <c r="W378">
        <v>0</v>
      </c>
      <c r="X378">
        <v>0</v>
      </c>
      <c r="Y378">
        <v>0</v>
      </c>
      <c r="Z378">
        <v>0</v>
      </c>
      <c r="AA378">
        <v>0</v>
      </c>
      <c r="AB378">
        <v>0</v>
      </c>
    </row>
    <row r="379" spans="1:28" x14ac:dyDescent="0.3">
      <c r="A379" s="1">
        <v>44086</v>
      </c>
      <c r="B379" t="s">
        <v>34</v>
      </c>
      <c r="C379">
        <v>6</v>
      </c>
      <c r="D379">
        <v>0</v>
      </c>
      <c r="E379">
        <v>0</v>
      </c>
      <c r="F379">
        <v>0</v>
      </c>
      <c r="G379">
        <v>0</v>
      </c>
      <c r="H379">
        <v>0</v>
      </c>
      <c r="I379">
        <v>0</v>
      </c>
      <c r="J379">
        <v>0</v>
      </c>
      <c r="K379">
        <v>0</v>
      </c>
      <c r="L379">
        <v>0</v>
      </c>
      <c r="M379">
        <v>2284878</v>
      </c>
      <c r="N379" t="s">
        <v>35</v>
      </c>
      <c r="O379" t="s">
        <v>36</v>
      </c>
      <c r="P379">
        <v>0</v>
      </c>
      <c r="Q379">
        <v>0</v>
      </c>
      <c r="R379">
        <v>0</v>
      </c>
      <c r="S379">
        <v>0</v>
      </c>
      <c r="T379">
        <v>0</v>
      </c>
      <c r="U379">
        <v>0</v>
      </c>
      <c r="V379">
        <v>0</v>
      </c>
      <c r="W379">
        <v>0</v>
      </c>
      <c r="X379">
        <v>0</v>
      </c>
      <c r="Y379">
        <v>0</v>
      </c>
      <c r="Z379">
        <v>0</v>
      </c>
      <c r="AA379">
        <v>0</v>
      </c>
      <c r="AB379">
        <v>0</v>
      </c>
    </row>
    <row r="380" spans="1:28" x14ac:dyDescent="0.3">
      <c r="A380" s="1">
        <v>44086</v>
      </c>
      <c r="B380" t="s">
        <v>63</v>
      </c>
      <c r="C380">
        <v>5</v>
      </c>
      <c r="D380">
        <v>0</v>
      </c>
      <c r="E380">
        <v>0</v>
      </c>
      <c r="F380">
        <v>0</v>
      </c>
      <c r="G380">
        <v>0</v>
      </c>
      <c r="H380">
        <v>0</v>
      </c>
      <c r="I380">
        <v>0</v>
      </c>
      <c r="J380">
        <v>0</v>
      </c>
      <c r="K380">
        <v>0</v>
      </c>
      <c r="L380">
        <v>0</v>
      </c>
      <c r="M380">
        <v>140995</v>
      </c>
      <c r="N380" t="s">
        <v>64</v>
      </c>
      <c r="O380" t="s">
        <v>65</v>
      </c>
      <c r="P380">
        <v>0</v>
      </c>
      <c r="Q380">
        <v>0</v>
      </c>
      <c r="R380">
        <v>0</v>
      </c>
      <c r="S380">
        <v>0</v>
      </c>
      <c r="T380">
        <v>0</v>
      </c>
      <c r="U380">
        <v>0</v>
      </c>
      <c r="V380">
        <v>0</v>
      </c>
      <c r="W380">
        <v>0</v>
      </c>
      <c r="X380">
        <v>0</v>
      </c>
      <c r="Y380">
        <v>0</v>
      </c>
      <c r="Z380">
        <v>0</v>
      </c>
      <c r="AA380">
        <v>0</v>
      </c>
      <c r="AB380">
        <v>0</v>
      </c>
    </row>
    <row r="381" spans="1:28" x14ac:dyDescent="0.3">
      <c r="A381" s="1">
        <v>44086</v>
      </c>
      <c r="B381" t="s">
        <v>78</v>
      </c>
      <c r="C381">
        <v>5</v>
      </c>
      <c r="D381">
        <v>0</v>
      </c>
      <c r="E381">
        <v>0</v>
      </c>
      <c r="F381">
        <v>0</v>
      </c>
      <c r="G381">
        <v>0</v>
      </c>
      <c r="H381">
        <v>0</v>
      </c>
      <c r="I381">
        <v>0</v>
      </c>
      <c r="J381">
        <v>0</v>
      </c>
      <c r="K381">
        <v>0</v>
      </c>
      <c r="L381">
        <v>0</v>
      </c>
      <c r="M381">
        <v>1014069</v>
      </c>
      <c r="N381" t="s">
        <v>79</v>
      </c>
      <c r="O381" t="s">
        <v>80</v>
      </c>
      <c r="P381">
        <v>0</v>
      </c>
      <c r="Q381">
        <v>0</v>
      </c>
      <c r="R381">
        <v>0</v>
      </c>
      <c r="S381">
        <v>0</v>
      </c>
      <c r="T381">
        <v>0</v>
      </c>
      <c r="U381">
        <v>0</v>
      </c>
      <c r="V381">
        <v>0</v>
      </c>
      <c r="W381">
        <v>0</v>
      </c>
      <c r="X381">
        <v>0</v>
      </c>
      <c r="Y381">
        <v>0</v>
      </c>
      <c r="Z381">
        <v>0</v>
      </c>
      <c r="AA381">
        <v>0</v>
      </c>
      <c r="AB381">
        <v>0</v>
      </c>
    </row>
    <row r="382" spans="1:28" x14ac:dyDescent="0.3">
      <c r="A382" s="1">
        <v>44086</v>
      </c>
      <c r="B382" t="s">
        <v>69</v>
      </c>
      <c r="C382">
        <v>5</v>
      </c>
      <c r="D382">
        <v>0</v>
      </c>
      <c r="E382">
        <v>0</v>
      </c>
      <c r="F382">
        <v>0</v>
      </c>
      <c r="G382">
        <v>0</v>
      </c>
      <c r="H382">
        <v>0</v>
      </c>
      <c r="I382">
        <v>0</v>
      </c>
      <c r="J382">
        <v>0</v>
      </c>
      <c r="K382">
        <v>0</v>
      </c>
      <c r="L382">
        <v>0</v>
      </c>
      <c r="M382">
        <v>1772040</v>
      </c>
      <c r="N382" t="s">
        <v>70</v>
      </c>
      <c r="O382" t="s">
        <v>71</v>
      </c>
      <c r="P382">
        <v>0</v>
      </c>
      <c r="Q382">
        <v>0</v>
      </c>
      <c r="R382">
        <v>0</v>
      </c>
      <c r="S382">
        <v>0</v>
      </c>
      <c r="T382">
        <v>0</v>
      </c>
      <c r="U382">
        <v>0</v>
      </c>
      <c r="V382">
        <v>0</v>
      </c>
      <c r="W382">
        <v>0</v>
      </c>
      <c r="X382">
        <v>0</v>
      </c>
      <c r="Y382">
        <v>0</v>
      </c>
      <c r="Z382">
        <v>0</v>
      </c>
      <c r="AA382">
        <v>0</v>
      </c>
      <c r="AB382">
        <v>0</v>
      </c>
    </row>
    <row r="383" spans="1:28" x14ac:dyDescent="0.3">
      <c r="A383" s="1">
        <v>44086</v>
      </c>
      <c r="B383" t="s">
        <v>37</v>
      </c>
      <c r="C383">
        <v>4</v>
      </c>
      <c r="D383">
        <v>0</v>
      </c>
      <c r="E383">
        <v>0</v>
      </c>
      <c r="F383">
        <v>0</v>
      </c>
      <c r="G383">
        <v>0</v>
      </c>
      <c r="H383">
        <v>0</v>
      </c>
      <c r="I383">
        <v>0</v>
      </c>
      <c r="J383">
        <v>0</v>
      </c>
      <c r="K383">
        <v>0</v>
      </c>
      <c r="L383">
        <v>0</v>
      </c>
      <c r="M383">
        <v>201285</v>
      </c>
      <c r="N383" t="s">
        <v>38</v>
      </c>
      <c r="O383" t="s">
        <v>39</v>
      </c>
      <c r="P383">
        <v>0</v>
      </c>
      <c r="Q383">
        <v>0</v>
      </c>
      <c r="R383">
        <v>0</v>
      </c>
      <c r="S383">
        <v>0</v>
      </c>
      <c r="T383">
        <v>0</v>
      </c>
      <c r="U383">
        <v>0</v>
      </c>
      <c r="V383">
        <v>0</v>
      </c>
      <c r="W383">
        <v>0</v>
      </c>
      <c r="X383">
        <v>0</v>
      </c>
      <c r="Y383">
        <v>0</v>
      </c>
      <c r="Z383">
        <v>0</v>
      </c>
      <c r="AA383">
        <v>0</v>
      </c>
      <c r="AB383">
        <v>0</v>
      </c>
    </row>
    <row r="384" spans="1:28" x14ac:dyDescent="0.3">
      <c r="A384" s="1">
        <v>44086</v>
      </c>
      <c r="B384" t="s">
        <v>72</v>
      </c>
      <c r="C384">
        <v>4</v>
      </c>
      <c r="D384">
        <v>0</v>
      </c>
      <c r="E384">
        <v>0</v>
      </c>
      <c r="F384">
        <v>0</v>
      </c>
      <c r="G384">
        <v>0</v>
      </c>
      <c r="H384">
        <v>0</v>
      </c>
      <c r="I384">
        <v>0</v>
      </c>
      <c r="J384">
        <v>0</v>
      </c>
      <c r="K384">
        <v>0</v>
      </c>
      <c r="L384">
        <v>0</v>
      </c>
      <c r="M384">
        <v>514792</v>
      </c>
      <c r="N384" t="s">
        <v>73</v>
      </c>
      <c r="O384" t="s">
        <v>74</v>
      </c>
      <c r="P384">
        <v>0</v>
      </c>
      <c r="Q384">
        <v>0</v>
      </c>
      <c r="R384">
        <v>0</v>
      </c>
      <c r="S384">
        <v>0</v>
      </c>
      <c r="T384">
        <v>0</v>
      </c>
      <c r="U384">
        <v>0</v>
      </c>
      <c r="V384">
        <v>0</v>
      </c>
      <c r="W384">
        <v>0</v>
      </c>
      <c r="X384">
        <v>0</v>
      </c>
      <c r="Y384">
        <v>0</v>
      </c>
      <c r="Z384">
        <v>0</v>
      </c>
      <c r="AA384">
        <v>0</v>
      </c>
      <c r="AB384">
        <v>0</v>
      </c>
    </row>
    <row r="385" spans="1:28" x14ac:dyDescent="0.3">
      <c r="A385" s="1">
        <v>44086</v>
      </c>
      <c r="B385" t="s">
        <v>75</v>
      </c>
      <c r="C385">
        <v>4</v>
      </c>
      <c r="D385">
        <v>0</v>
      </c>
      <c r="E385">
        <v>0</v>
      </c>
      <c r="F385">
        <v>0</v>
      </c>
      <c r="G385">
        <v>0</v>
      </c>
      <c r="H385">
        <v>0</v>
      </c>
      <c r="I385">
        <v>0</v>
      </c>
      <c r="J385">
        <v>0</v>
      </c>
      <c r="K385">
        <v>0</v>
      </c>
      <c r="L385">
        <v>0</v>
      </c>
      <c r="M385">
        <v>745788</v>
      </c>
      <c r="N385" t="s">
        <v>76</v>
      </c>
      <c r="O385" t="s">
        <v>77</v>
      </c>
      <c r="P385">
        <v>0</v>
      </c>
      <c r="Q385">
        <v>0</v>
      </c>
      <c r="R385">
        <v>0</v>
      </c>
      <c r="S385">
        <v>0</v>
      </c>
      <c r="T385">
        <v>0</v>
      </c>
      <c r="U385">
        <v>0</v>
      </c>
      <c r="V385">
        <v>0</v>
      </c>
      <c r="W385">
        <v>0</v>
      </c>
      <c r="X385">
        <v>0</v>
      </c>
      <c r="Y385">
        <v>0</v>
      </c>
      <c r="Z385">
        <v>0</v>
      </c>
      <c r="AA385">
        <v>0</v>
      </c>
      <c r="AB385">
        <v>0</v>
      </c>
    </row>
    <row r="386" spans="1:28" x14ac:dyDescent="0.3">
      <c r="A386" s="1">
        <v>44086</v>
      </c>
      <c r="B386" t="s">
        <v>66</v>
      </c>
      <c r="C386">
        <v>4</v>
      </c>
      <c r="D386">
        <v>0</v>
      </c>
      <c r="E386">
        <v>0</v>
      </c>
      <c r="F386">
        <v>0</v>
      </c>
      <c r="G386">
        <v>0</v>
      </c>
      <c r="H386">
        <v>0</v>
      </c>
      <c r="I386">
        <v>0</v>
      </c>
      <c r="J386">
        <v>0</v>
      </c>
      <c r="K386">
        <v>0</v>
      </c>
      <c r="L386">
        <v>0</v>
      </c>
      <c r="M386">
        <v>1413766</v>
      </c>
      <c r="N386" t="s">
        <v>67</v>
      </c>
      <c r="O386" t="s">
        <v>68</v>
      </c>
      <c r="P386">
        <v>0</v>
      </c>
      <c r="Q386">
        <v>0</v>
      </c>
      <c r="R386">
        <v>0</v>
      </c>
      <c r="S386">
        <v>0</v>
      </c>
      <c r="T386">
        <v>0</v>
      </c>
      <c r="U386">
        <v>0</v>
      </c>
      <c r="V386">
        <v>0</v>
      </c>
      <c r="W386">
        <v>0</v>
      </c>
      <c r="X386">
        <v>0</v>
      </c>
      <c r="Y386">
        <v>0</v>
      </c>
      <c r="Z386">
        <v>0</v>
      </c>
      <c r="AA386">
        <v>0</v>
      </c>
      <c r="AB386">
        <v>0</v>
      </c>
    </row>
    <row r="387" spans="1:28" x14ac:dyDescent="0.3">
      <c r="A387" s="1">
        <v>44086</v>
      </c>
      <c r="B387" t="s">
        <v>93</v>
      </c>
      <c r="C387">
        <v>3</v>
      </c>
      <c r="D387">
        <v>0</v>
      </c>
      <c r="E387">
        <v>0</v>
      </c>
      <c r="F387">
        <v>0</v>
      </c>
      <c r="G387">
        <v>0</v>
      </c>
      <c r="H387">
        <v>0</v>
      </c>
      <c r="I387">
        <v>0</v>
      </c>
      <c r="J387">
        <v>0</v>
      </c>
      <c r="K387">
        <v>0</v>
      </c>
      <c r="L387">
        <v>0</v>
      </c>
      <c r="M387">
        <v>1238556</v>
      </c>
      <c r="N387" t="s">
        <v>94</v>
      </c>
      <c r="O387" t="s">
        <v>95</v>
      </c>
      <c r="P387">
        <v>0</v>
      </c>
      <c r="Q387">
        <v>0</v>
      </c>
      <c r="R387">
        <v>0</v>
      </c>
      <c r="S387">
        <v>0</v>
      </c>
      <c r="T387">
        <v>0</v>
      </c>
      <c r="U387">
        <v>0</v>
      </c>
      <c r="V387">
        <v>0</v>
      </c>
      <c r="W387">
        <v>0</v>
      </c>
      <c r="X387">
        <v>0</v>
      </c>
      <c r="Y387">
        <v>0</v>
      </c>
      <c r="Z387">
        <v>0</v>
      </c>
      <c r="AA387">
        <v>0</v>
      </c>
      <c r="AB387">
        <v>0</v>
      </c>
    </row>
    <row r="388" spans="1:28" x14ac:dyDescent="0.3">
      <c r="A388" s="1">
        <v>44086</v>
      </c>
      <c r="B388" t="s">
        <v>96</v>
      </c>
      <c r="C388">
        <v>3</v>
      </c>
      <c r="D388">
        <v>0</v>
      </c>
      <c r="E388">
        <v>0</v>
      </c>
      <c r="F388">
        <v>0</v>
      </c>
      <c r="G388">
        <v>0</v>
      </c>
      <c r="H388">
        <v>0</v>
      </c>
      <c r="I388">
        <v>0</v>
      </c>
      <c r="J388">
        <v>0</v>
      </c>
      <c r="K388">
        <v>0</v>
      </c>
      <c r="L388">
        <v>0</v>
      </c>
      <c r="M388">
        <v>1372745</v>
      </c>
      <c r="N388" t="s">
        <v>97</v>
      </c>
      <c r="O388" t="s">
        <v>98</v>
      </c>
      <c r="P388">
        <v>0</v>
      </c>
      <c r="Q388">
        <v>0</v>
      </c>
      <c r="R388">
        <v>0</v>
      </c>
      <c r="S388">
        <v>0</v>
      </c>
      <c r="T388">
        <v>0</v>
      </c>
      <c r="U388">
        <v>0</v>
      </c>
      <c r="V388">
        <v>0</v>
      </c>
      <c r="W388">
        <v>0</v>
      </c>
      <c r="X388">
        <v>0</v>
      </c>
      <c r="Y388">
        <v>0</v>
      </c>
      <c r="Z388">
        <v>0</v>
      </c>
      <c r="AA388">
        <v>0</v>
      </c>
      <c r="AB388">
        <v>0</v>
      </c>
    </row>
    <row r="389" spans="1:28" x14ac:dyDescent="0.3">
      <c r="A389" s="1">
        <v>44086</v>
      </c>
      <c r="B389" t="s">
        <v>99</v>
      </c>
      <c r="C389">
        <v>2</v>
      </c>
      <c r="D389">
        <v>0</v>
      </c>
      <c r="E389">
        <v>0</v>
      </c>
      <c r="F389">
        <v>0</v>
      </c>
      <c r="G389">
        <v>0</v>
      </c>
      <c r="H389">
        <v>0</v>
      </c>
      <c r="I389">
        <v>0</v>
      </c>
      <c r="J389">
        <v>0</v>
      </c>
      <c r="K389">
        <v>0</v>
      </c>
      <c r="L389">
        <v>0</v>
      </c>
      <c r="M389">
        <v>193744</v>
      </c>
      <c r="N389" t="s">
        <v>100</v>
      </c>
      <c r="O389" t="s">
        <v>101</v>
      </c>
      <c r="P389">
        <v>0</v>
      </c>
      <c r="Q389">
        <v>0</v>
      </c>
      <c r="R389">
        <v>0</v>
      </c>
      <c r="S389">
        <v>0</v>
      </c>
      <c r="T389">
        <v>0</v>
      </c>
      <c r="U389">
        <v>0</v>
      </c>
      <c r="V389">
        <v>0</v>
      </c>
      <c r="W389">
        <v>0</v>
      </c>
      <c r="X389">
        <v>0</v>
      </c>
      <c r="Y389">
        <v>0</v>
      </c>
      <c r="Z389">
        <v>0</v>
      </c>
      <c r="AA389">
        <v>0</v>
      </c>
      <c r="AB389">
        <v>0</v>
      </c>
    </row>
    <row r="390" spans="1:28" x14ac:dyDescent="0.3">
      <c r="A390" s="1">
        <v>44086</v>
      </c>
      <c r="B390" t="s">
        <v>102</v>
      </c>
      <c r="C390">
        <v>2</v>
      </c>
      <c r="D390">
        <v>0</v>
      </c>
      <c r="E390">
        <v>0</v>
      </c>
      <c r="F390">
        <v>0</v>
      </c>
      <c r="G390">
        <v>0</v>
      </c>
      <c r="H390">
        <v>0</v>
      </c>
      <c r="I390">
        <v>0</v>
      </c>
      <c r="J390">
        <v>0</v>
      </c>
      <c r="K390">
        <v>0</v>
      </c>
      <c r="L390">
        <v>0</v>
      </c>
      <c r="M390">
        <v>742098</v>
      </c>
      <c r="N390" t="s">
        <v>103</v>
      </c>
      <c r="O390" t="s">
        <v>104</v>
      </c>
      <c r="P390">
        <v>0</v>
      </c>
      <c r="Q390">
        <v>0</v>
      </c>
      <c r="R390">
        <v>0</v>
      </c>
      <c r="S390">
        <v>0</v>
      </c>
      <c r="T390">
        <v>0</v>
      </c>
      <c r="U390">
        <v>0</v>
      </c>
      <c r="V390">
        <v>0</v>
      </c>
      <c r="W390">
        <v>0</v>
      </c>
      <c r="X390">
        <v>0</v>
      </c>
      <c r="Y390">
        <v>0</v>
      </c>
      <c r="Z390">
        <v>0</v>
      </c>
      <c r="AA390">
        <v>0</v>
      </c>
      <c r="AB390">
        <v>0</v>
      </c>
    </row>
    <row r="391" spans="1:28" x14ac:dyDescent="0.3">
      <c r="A391" s="1">
        <v>44086</v>
      </c>
      <c r="B391" t="s">
        <v>84</v>
      </c>
      <c r="C391">
        <v>2</v>
      </c>
      <c r="D391">
        <v>0</v>
      </c>
      <c r="E391">
        <v>0</v>
      </c>
      <c r="F391">
        <v>0</v>
      </c>
      <c r="G391">
        <v>0</v>
      </c>
      <c r="H391">
        <v>0</v>
      </c>
      <c r="I391">
        <v>0</v>
      </c>
      <c r="J391">
        <v>0</v>
      </c>
      <c r="K391">
        <v>0</v>
      </c>
      <c r="L391">
        <v>0</v>
      </c>
      <c r="M391">
        <v>1242889</v>
      </c>
      <c r="N391" t="s">
        <v>85</v>
      </c>
      <c r="O391" t="s">
        <v>86</v>
      </c>
      <c r="P391">
        <v>0</v>
      </c>
      <c r="Q391">
        <v>0</v>
      </c>
      <c r="R391">
        <v>0</v>
      </c>
      <c r="S391">
        <v>0</v>
      </c>
      <c r="T391">
        <v>0</v>
      </c>
      <c r="U391">
        <v>0</v>
      </c>
      <c r="V391">
        <v>0</v>
      </c>
      <c r="W391">
        <v>0</v>
      </c>
      <c r="X391">
        <v>0</v>
      </c>
      <c r="Y391">
        <v>0</v>
      </c>
      <c r="Z391">
        <v>0</v>
      </c>
      <c r="AA391">
        <v>0</v>
      </c>
      <c r="AB391">
        <v>0</v>
      </c>
    </row>
    <row r="392" spans="1:28" x14ac:dyDescent="0.3">
      <c r="A392" s="1">
        <v>44086</v>
      </c>
      <c r="B392" t="s">
        <v>138</v>
      </c>
      <c r="C392">
        <v>2</v>
      </c>
      <c r="D392">
        <v>0</v>
      </c>
      <c r="E392">
        <v>0</v>
      </c>
      <c r="F392">
        <v>0</v>
      </c>
      <c r="G392">
        <v>0</v>
      </c>
      <c r="H392">
        <v>0</v>
      </c>
      <c r="I392">
        <v>0</v>
      </c>
      <c r="J392">
        <v>0</v>
      </c>
      <c r="K392">
        <v>0</v>
      </c>
      <c r="L392">
        <v>0</v>
      </c>
      <c r="M392">
        <v>1578665</v>
      </c>
      <c r="N392" t="s">
        <v>139</v>
      </c>
      <c r="O392" t="s">
        <v>140</v>
      </c>
      <c r="P392">
        <v>0</v>
      </c>
      <c r="Q392">
        <v>0</v>
      </c>
      <c r="R392">
        <v>0</v>
      </c>
      <c r="S392">
        <v>0</v>
      </c>
      <c r="T392">
        <v>0</v>
      </c>
      <c r="U392">
        <v>0</v>
      </c>
      <c r="V392">
        <v>0</v>
      </c>
      <c r="W392">
        <v>0</v>
      </c>
      <c r="X392">
        <v>0</v>
      </c>
      <c r="Y392">
        <v>0</v>
      </c>
      <c r="Z392">
        <v>0</v>
      </c>
      <c r="AA392">
        <v>0</v>
      </c>
      <c r="AB392">
        <v>0</v>
      </c>
    </row>
    <row r="393" spans="1:28" x14ac:dyDescent="0.3">
      <c r="A393" s="1">
        <v>44086</v>
      </c>
      <c r="B393" t="s">
        <v>186</v>
      </c>
      <c r="C393">
        <v>2</v>
      </c>
      <c r="D393">
        <v>0</v>
      </c>
      <c r="E393">
        <v>0</v>
      </c>
      <c r="F393">
        <v>0</v>
      </c>
      <c r="G393">
        <v>0</v>
      </c>
      <c r="H393">
        <v>0</v>
      </c>
      <c r="I393">
        <v>0</v>
      </c>
      <c r="J393">
        <v>0</v>
      </c>
      <c r="K393">
        <v>0</v>
      </c>
      <c r="L393">
        <v>0</v>
      </c>
      <c r="M393">
        <v>1851859</v>
      </c>
      <c r="N393" t="s">
        <v>187</v>
      </c>
      <c r="O393" t="s">
        <v>188</v>
      </c>
      <c r="P393">
        <v>0</v>
      </c>
      <c r="Q393">
        <v>0</v>
      </c>
      <c r="R393">
        <v>0</v>
      </c>
      <c r="S393">
        <v>0</v>
      </c>
      <c r="T393">
        <v>0</v>
      </c>
      <c r="U393">
        <v>0</v>
      </c>
      <c r="V393">
        <v>0</v>
      </c>
      <c r="W393">
        <v>0</v>
      </c>
      <c r="X393">
        <v>0</v>
      </c>
      <c r="Y393">
        <v>0</v>
      </c>
      <c r="Z393">
        <v>0</v>
      </c>
      <c r="AA393">
        <v>0</v>
      </c>
      <c r="AB393">
        <v>0</v>
      </c>
    </row>
    <row r="394" spans="1:28" x14ac:dyDescent="0.3">
      <c r="A394" s="1">
        <v>44086</v>
      </c>
      <c r="B394" t="s">
        <v>90</v>
      </c>
      <c r="C394">
        <v>1</v>
      </c>
      <c r="D394">
        <v>0</v>
      </c>
      <c r="E394">
        <v>0</v>
      </c>
      <c r="F394">
        <v>0</v>
      </c>
      <c r="G394">
        <v>0</v>
      </c>
      <c r="H394">
        <v>0</v>
      </c>
      <c r="I394">
        <v>0</v>
      </c>
      <c r="J394">
        <v>0</v>
      </c>
      <c r="K394">
        <v>0</v>
      </c>
      <c r="L394">
        <v>0</v>
      </c>
      <c r="M394">
        <v>136482</v>
      </c>
      <c r="N394" t="s">
        <v>91</v>
      </c>
      <c r="O394" t="s">
        <v>92</v>
      </c>
      <c r="P394">
        <v>0</v>
      </c>
      <c r="Q394">
        <v>0</v>
      </c>
      <c r="R394">
        <v>0</v>
      </c>
      <c r="S394">
        <v>0</v>
      </c>
      <c r="T394">
        <v>0</v>
      </c>
      <c r="U394">
        <v>0</v>
      </c>
      <c r="V394">
        <v>0</v>
      </c>
      <c r="W394">
        <v>0</v>
      </c>
      <c r="X394">
        <v>0</v>
      </c>
      <c r="Y394">
        <v>0</v>
      </c>
      <c r="Z394">
        <v>0</v>
      </c>
      <c r="AA394">
        <v>0</v>
      </c>
      <c r="AB394">
        <v>0</v>
      </c>
    </row>
    <row r="395" spans="1:28" x14ac:dyDescent="0.3">
      <c r="A395" s="1">
        <v>44086</v>
      </c>
      <c r="B395" t="s">
        <v>120</v>
      </c>
      <c r="C395">
        <v>1</v>
      </c>
      <c r="D395">
        <v>0</v>
      </c>
      <c r="E395">
        <v>0</v>
      </c>
      <c r="F395">
        <v>0</v>
      </c>
      <c r="G395">
        <v>0</v>
      </c>
      <c r="H395">
        <v>0</v>
      </c>
      <c r="I395">
        <v>0</v>
      </c>
      <c r="J395">
        <v>0</v>
      </c>
      <c r="K395">
        <v>0</v>
      </c>
      <c r="L395">
        <v>0</v>
      </c>
      <c r="M395">
        <v>154911</v>
      </c>
      <c r="N395" t="s">
        <v>121</v>
      </c>
      <c r="O395" t="s">
        <v>122</v>
      </c>
      <c r="P395">
        <v>0</v>
      </c>
      <c r="Q395">
        <v>0</v>
      </c>
      <c r="R395">
        <v>0</v>
      </c>
      <c r="S395">
        <v>0</v>
      </c>
      <c r="T395">
        <v>0</v>
      </c>
      <c r="U395">
        <v>0</v>
      </c>
      <c r="V395">
        <v>0</v>
      </c>
      <c r="W395">
        <v>0</v>
      </c>
      <c r="X395">
        <v>0</v>
      </c>
      <c r="Y395">
        <v>0</v>
      </c>
      <c r="Z395">
        <v>0</v>
      </c>
      <c r="AA395">
        <v>0</v>
      </c>
      <c r="AB395">
        <v>0</v>
      </c>
    </row>
    <row r="396" spans="1:28" x14ac:dyDescent="0.3">
      <c r="A396" s="1">
        <v>44086</v>
      </c>
      <c r="B396" t="s">
        <v>123</v>
      </c>
      <c r="C396">
        <v>1</v>
      </c>
      <c r="D396">
        <v>0</v>
      </c>
      <c r="E396">
        <v>0</v>
      </c>
      <c r="F396">
        <v>0</v>
      </c>
      <c r="G396">
        <v>0</v>
      </c>
      <c r="H396">
        <v>0</v>
      </c>
      <c r="I396">
        <v>0</v>
      </c>
      <c r="J396">
        <v>0</v>
      </c>
      <c r="K396">
        <v>0</v>
      </c>
      <c r="L396">
        <v>0</v>
      </c>
      <c r="M396">
        <v>213636</v>
      </c>
      <c r="N396" t="s">
        <v>124</v>
      </c>
      <c r="O396" t="s">
        <v>125</v>
      </c>
      <c r="P396">
        <v>0</v>
      </c>
      <c r="Q396">
        <v>0</v>
      </c>
      <c r="R396">
        <v>0</v>
      </c>
      <c r="S396">
        <v>0</v>
      </c>
      <c r="T396">
        <v>0</v>
      </c>
      <c r="U396">
        <v>0</v>
      </c>
      <c r="V396">
        <v>0</v>
      </c>
      <c r="W396">
        <v>0</v>
      </c>
      <c r="X396">
        <v>0</v>
      </c>
      <c r="Y396">
        <v>0</v>
      </c>
      <c r="Z396">
        <v>0</v>
      </c>
      <c r="AA396">
        <v>0</v>
      </c>
      <c r="AB396">
        <v>0</v>
      </c>
    </row>
    <row r="397" spans="1:28" x14ac:dyDescent="0.3">
      <c r="A397" s="1">
        <v>44086</v>
      </c>
      <c r="B397" t="s">
        <v>126</v>
      </c>
      <c r="C397">
        <v>1</v>
      </c>
      <c r="D397">
        <v>0</v>
      </c>
      <c r="E397">
        <v>0</v>
      </c>
      <c r="F397">
        <v>0</v>
      </c>
      <c r="G397">
        <v>0</v>
      </c>
      <c r="H397">
        <v>0</v>
      </c>
      <c r="I397">
        <v>0</v>
      </c>
      <c r="J397">
        <v>0</v>
      </c>
      <c r="K397">
        <v>0</v>
      </c>
      <c r="L397">
        <v>0</v>
      </c>
      <c r="M397">
        <v>318676</v>
      </c>
      <c r="N397" t="s">
        <v>127</v>
      </c>
      <c r="O397" t="s">
        <v>128</v>
      </c>
      <c r="P397">
        <v>0</v>
      </c>
      <c r="Q397">
        <v>0</v>
      </c>
      <c r="R397">
        <v>0</v>
      </c>
      <c r="S397">
        <v>0</v>
      </c>
      <c r="T397">
        <v>0</v>
      </c>
      <c r="U397">
        <v>0</v>
      </c>
      <c r="V397">
        <v>0</v>
      </c>
      <c r="W397">
        <v>0</v>
      </c>
      <c r="X397">
        <v>0</v>
      </c>
      <c r="Y397">
        <v>0</v>
      </c>
      <c r="Z397">
        <v>0</v>
      </c>
      <c r="AA397">
        <v>0</v>
      </c>
      <c r="AB397">
        <v>0</v>
      </c>
    </row>
    <row r="398" spans="1:28" x14ac:dyDescent="0.3">
      <c r="A398" s="1">
        <v>44086</v>
      </c>
      <c r="B398" t="s">
        <v>129</v>
      </c>
      <c r="C398">
        <v>1</v>
      </c>
      <c r="D398">
        <v>0</v>
      </c>
      <c r="E398">
        <v>0</v>
      </c>
      <c r="F398">
        <v>0</v>
      </c>
      <c r="G398">
        <v>0</v>
      </c>
      <c r="H398">
        <v>0</v>
      </c>
      <c r="I398">
        <v>0</v>
      </c>
      <c r="J398">
        <v>0</v>
      </c>
      <c r="K398">
        <v>0</v>
      </c>
      <c r="L398">
        <v>0</v>
      </c>
      <c r="M398">
        <v>1140999</v>
      </c>
      <c r="N398" t="s">
        <v>130</v>
      </c>
      <c r="O398" t="s">
        <v>131</v>
      </c>
      <c r="P398">
        <v>0</v>
      </c>
      <c r="Q398">
        <v>0</v>
      </c>
      <c r="R398">
        <v>0</v>
      </c>
      <c r="S398">
        <v>0</v>
      </c>
      <c r="T398">
        <v>0</v>
      </c>
      <c r="U398">
        <v>0</v>
      </c>
      <c r="V398">
        <v>0</v>
      </c>
      <c r="W398">
        <v>0</v>
      </c>
      <c r="X398">
        <v>0</v>
      </c>
      <c r="Y398">
        <v>0</v>
      </c>
      <c r="Z398">
        <v>0</v>
      </c>
      <c r="AA398">
        <v>0</v>
      </c>
      <c r="AB398">
        <v>0</v>
      </c>
    </row>
    <row r="399" spans="1:28" x14ac:dyDescent="0.3">
      <c r="A399" s="1">
        <v>44086</v>
      </c>
      <c r="B399" t="s">
        <v>81</v>
      </c>
      <c r="C399">
        <v>1</v>
      </c>
      <c r="D399">
        <v>0</v>
      </c>
      <c r="E399">
        <v>0</v>
      </c>
      <c r="F399">
        <v>0</v>
      </c>
      <c r="G399">
        <v>0</v>
      </c>
      <c r="H399">
        <v>0</v>
      </c>
      <c r="I399">
        <v>0</v>
      </c>
      <c r="J399">
        <v>0</v>
      </c>
      <c r="K399">
        <v>0</v>
      </c>
      <c r="L399">
        <v>0</v>
      </c>
      <c r="M399">
        <v>1225169</v>
      </c>
      <c r="N399" t="s">
        <v>82</v>
      </c>
      <c r="O399" t="s">
        <v>83</v>
      </c>
      <c r="P399">
        <v>0</v>
      </c>
      <c r="Q399">
        <v>0</v>
      </c>
      <c r="R399">
        <v>0</v>
      </c>
      <c r="S399">
        <v>0</v>
      </c>
      <c r="T399">
        <v>0</v>
      </c>
      <c r="U399">
        <v>0</v>
      </c>
      <c r="V399">
        <v>0</v>
      </c>
      <c r="W399">
        <v>0</v>
      </c>
      <c r="X399">
        <v>0</v>
      </c>
      <c r="Y399">
        <v>0</v>
      </c>
      <c r="Z399">
        <v>0</v>
      </c>
      <c r="AA399">
        <v>0</v>
      </c>
      <c r="AB399">
        <v>0</v>
      </c>
    </row>
    <row r="400" spans="1:28" x14ac:dyDescent="0.3">
      <c r="A400" s="1">
        <v>44086</v>
      </c>
      <c r="B400" t="s">
        <v>108</v>
      </c>
      <c r="C400">
        <v>1</v>
      </c>
      <c r="D400">
        <v>0</v>
      </c>
      <c r="E400">
        <v>0</v>
      </c>
      <c r="F400">
        <v>0</v>
      </c>
      <c r="G400">
        <v>0</v>
      </c>
      <c r="H400">
        <v>0</v>
      </c>
      <c r="I400">
        <v>0</v>
      </c>
      <c r="J400">
        <v>0</v>
      </c>
      <c r="K400">
        <v>0</v>
      </c>
      <c r="L400">
        <v>0</v>
      </c>
      <c r="M400">
        <v>1273061</v>
      </c>
      <c r="N400" t="s">
        <v>109</v>
      </c>
      <c r="O400" t="s">
        <v>110</v>
      </c>
      <c r="P400">
        <v>0</v>
      </c>
      <c r="Q400">
        <v>0</v>
      </c>
      <c r="R400">
        <v>0</v>
      </c>
      <c r="S400">
        <v>0</v>
      </c>
      <c r="T400">
        <v>0</v>
      </c>
      <c r="U400">
        <v>0</v>
      </c>
      <c r="V400">
        <v>0</v>
      </c>
      <c r="W400">
        <v>0</v>
      </c>
      <c r="X400">
        <v>0</v>
      </c>
      <c r="Y400">
        <v>0</v>
      </c>
      <c r="Z400">
        <v>0</v>
      </c>
      <c r="AA400">
        <v>0</v>
      </c>
      <c r="AB400">
        <v>0</v>
      </c>
    </row>
    <row r="401" spans="1:28" x14ac:dyDescent="0.3">
      <c r="A401" s="1">
        <v>44086</v>
      </c>
      <c r="B401" t="s">
        <v>189</v>
      </c>
      <c r="C401">
        <v>1</v>
      </c>
      <c r="D401">
        <v>0</v>
      </c>
      <c r="E401">
        <v>0</v>
      </c>
      <c r="F401">
        <v>0</v>
      </c>
      <c r="G401">
        <v>0</v>
      </c>
      <c r="H401">
        <v>0</v>
      </c>
      <c r="I401">
        <v>0</v>
      </c>
      <c r="J401">
        <v>0</v>
      </c>
      <c r="K401">
        <v>0</v>
      </c>
      <c r="L401">
        <v>0</v>
      </c>
      <c r="M401">
        <v>1307407</v>
      </c>
      <c r="N401" t="s">
        <v>190</v>
      </c>
      <c r="O401" t="s">
        <v>191</v>
      </c>
      <c r="P401">
        <v>0</v>
      </c>
      <c r="Q401">
        <v>0</v>
      </c>
      <c r="R401">
        <v>0</v>
      </c>
      <c r="S401">
        <v>0</v>
      </c>
      <c r="T401">
        <v>0</v>
      </c>
      <c r="U401">
        <v>0</v>
      </c>
      <c r="V401">
        <v>0</v>
      </c>
      <c r="W401">
        <v>0</v>
      </c>
      <c r="X401">
        <v>0</v>
      </c>
      <c r="Y401">
        <v>0</v>
      </c>
      <c r="Z401">
        <v>0</v>
      </c>
      <c r="AA401">
        <v>0</v>
      </c>
      <c r="AB401">
        <v>0</v>
      </c>
    </row>
    <row r="402" spans="1:28" x14ac:dyDescent="0.3">
      <c r="A402" s="1">
        <v>44086</v>
      </c>
      <c r="B402" t="s">
        <v>111</v>
      </c>
      <c r="C402">
        <v>1</v>
      </c>
      <c r="D402">
        <v>0</v>
      </c>
      <c r="E402">
        <v>0</v>
      </c>
      <c r="F402">
        <v>0</v>
      </c>
      <c r="G402">
        <v>0</v>
      </c>
      <c r="H402">
        <v>0</v>
      </c>
      <c r="I402">
        <v>0</v>
      </c>
      <c r="J402">
        <v>0</v>
      </c>
      <c r="K402">
        <v>0</v>
      </c>
      <c r="L402">
        <v>0</v>
      </c>
      <c r="M402">
        <v>1649859</v>
      </c>
      <c r="N402" t="s">
        <v>112</v>
      </c>
      <c r="O402" t="s">
        <v>113</v>
      </c>
      <c r="P402">
        <v>0</v>
      </c>
      <c r="Q402">
        <v>0</v>
      </c>
      <c r="R402">
        <v>0</v>
      </c>
      <c r="S402">
        <v>0</v>
      </c>
      <c r="T402">
        <v>0</v>
      </c>
      <c r="U402">
        <v>0</v>
      </c>
      <c r="V402">
        <v>0</v>
      </c>
      <c r="W402">
        <v>0</v>
      </c>
      <c r="X402">
        <v>0</v>
      </c>
      <c r="Y402">
        <v>0</v>
      </c>
      <c r="Z402">
        <v>0</v>
      </c>
      <c r="AA402">
        <v>0</v>
      </c>
      <c r="AB402">
        <v>0</v>
      </c>
    </row>
    <row r="403" spans="1:28" x14ac:dyDescent="0.3">
      <c r="A403" s="1">
        <v>44086</v>
      </c>
      <c r="B403" t="s">
        <v>192</v>
      </c>
      <c r="C403">
        <v>1</v>
      </c>
      <c r="D403">
        <v>0</v>
      </c>
      <c r="E403">
        <v>0</v>
      </c>
      <c r="F403">
        <v>0</v>
      </c>
      <c r="G403">
        <v>0</v>
      </c>
      <c r="H403">
        <v>0</v>
      </c>
      <c r="I403">
        <v>0</v>
      </c>
      <c r="J403">
        <v>0</v>
      </c>
      <c r="K403">
        <v>0</v>
      </c>
      <c r="L403">
        <v>0</v>
      </c>
      <c r="M403">
        <v>1693896</v>
      </c>
      <c r="N403" t="s">
        <v>193</v>
      </c>
      <c r="O403" t="s">
        <v>194</v>
      </c>
      <c r="P403">
        <v>0</v>
      </c>
      <c r="Q403">
        <v>0</v>
      </c>
      <c r="R403">
        <v>0</v>
      </c>
      <c r="S403">
        <v>0</v>
      </c>
      <c r="T403">
        <v>0</v>
      </c>
      <c r="U403">
        <v>0</v>
      </c>
      <c r="V403">
        <v>0</v>
      </c>
      <c r="W403">
        <v>0</v>
      </c>
      <c r="X403">
        <v>0</v>
      </c>
      <c r="Y403">
        <v>0</v>
      </c>
      <c r="Z403">
        <v>0</v>
      </c>
      <c r="AA403">
        <v>0</v>
      </c>
      <c r="AB403">
        <v>0</v>
      </c>
    </row>
    <row r="404" spans="1:28" x14ac:dyDescent="0.3">
      <c r="A404" s="1">
        <v>44086</v>
      </c>
      <c r="B404" t="s">
        <v>174</v>
      </c>
      <c r="C404">
        <v>1</v>
      </c>
      <c r="D404">
        <v>0</v>
      </c>
      <c r="E404">
        <v>0</v>
      </c>
      <c r="F404">
        <v>0</v>
      </c>
      <c r="G404">
        <v>0</v>
      </c>
      <c r="H404">
        <v>0</v>
      </c>
      <c r="I404">
        <v>0</v>
      </c>
      <c r="J404">
        <v>0</v>
      </c>
      <c r="K404">
        <v>0</v>
      </c>
      <c r="L404">
        <v>0</v>
      </c>
      <c r="M404">
        <v>1778626</v>
      </c>
      <c r="N404" t="s">
        <v>175</v>
      </c>
      <c r="O404" t="s">
        <v>176</v>
      </c>
      <c r="P404">
        <v>0</v>
      </c>
      <c r="Q404">
        <v>0</v>
      </c>
      <c r="R404">
        <v>0</v>
      </c>
      <c r="S404">
        <v>0</v>
      </c>
      <c r="T404">
        <v>0</v>
      </c>
      <c r="U404">
        <v>0</v>
      </c>
      <c r="V404">
        <v>0</v>
      </c>
      <c r="W404">
        <v>0</v>
      </c>
      <c r="X404">
        <v>0</v>
      </c>
      <c r="Y404">
        <v>0</v>
      </c>
      <c r="Z404">
        <v>0</v>
      </c>
      <c r="AA404">
        <v>0</v>
      </c>
      <c r="AB404">
        <v>0</v>
      </c>
    </row>
    <row r="405" spans="1:28" x14ac:dyDescent="0.3">
      <c r="A405" s="1">
        <v>44086</v>
      </c>
      <c r="B405" t="s">
        <v>144</v>
      </c>
      <c r="C405">
        <v>1</v>
      </c>
      <c r="D405">
        <v>0</v>
      </c>
      <c r="E405">
        <v>0</v>
      </c>
      <c r="F405">
        <v>0</v>
      </c>
      <c r="G405">
        <v>0</v>
      </c>
      <c r="H405">
        <v>0</v>
      </c>
      <c r="I405">
        <v>0</v>
      </c>
      <c r="J405">
        <v>0</v>
      </c>
      <c r="K405">
        <v>0</v>
      </c>
      <c r="L405">
        <v>0</v>
      </c>
      <c r="M405">
        <v>2015681</v>
      </c>
      <c r="N405" t="s">
        <v>145</v>
      </c>
      <c r="O405" t="s">
        <v>146</v>
      </c>
      <c r="P405">
        <v>0</v>
      </c>
      <c r="Q405">
        <v>0</v>
      </c>
      <c r="R405">
        <v>0</v>
      </c>
      <c r="S405">
        <v>0</v>
      </c>
      <c r="T405">
        <v>0</v>
      </c>
      <c r="U405">
        <v>0</v>
      </c>
      <c r="V405">
        <v>0</v>
      </c>
      <c r="W405">
        <v>0</v>
      </c>
      <c r="X405">
        <v>0</v>
      </c>
      <c r="Y405">
        <v>0</v>
      </c>
      <c r="Z405">
        <v>0</v>
      </c>
      <c r="AA405">
        <v>0</v>
      </c>
      <c r="AB405">
        <v>0</v>
      </c>
    </row>
    <row r="406" spans="1:28" x14ac:dyDescent="0.3">
      <c r="A406" s="1">
        <v>44086</v>
      </c>
      <c r="B406" t="s">
        <v>159</v>
      </c>
      <c r="C406">
        <v>1</v>
      </c>
      <c r="D406">
        <v>0</v>
      </c>
      <c r="E406">
        <v>0</v>
      </c>
      <c r="F406">
        <v>0</v>
      </c>
      <c r="G406">
        <v>0</v>
      </c>
      <c r="H406">
        <v>0</v>
      </c>
      <c r="I406">
        <v>0</v>
      </c>
      <c r="J406">
        <v>0</v>
      </c>
      <c r="K406">
        <v>0</v>
      </c>
      <c r="L406">
        <v>0</v>
      </c>
      <c r="M406">
        <v>2029250</v>
      </c>
      <c r="N406" t="s">
        <v>160</v>
      </c>
      <c r="O406" t="s">
        <v>161</v>
      </c>
      <c r="P406">
        <v>0</v>
      </c>
      <c r="Q406">
        <v>0</v>
      </c>
      <c r="R406">
        <v>0</v>
      </c>
      <c r="S406">
        <v>0</v>
      </c>
      <c r="T406">
        <v>0</v>
      </c>
      <c r="U406">
        <v>0</v>
      </c>
      <c r="V406">
        <v>0</v>
      </c>
      <c r="W406">
        <v>0</v>
      </c>
      <c r="X406">
        <v>0</v>
      </c>
      <c r="Y406">
        <v>0</v>
      </c>
      <c r="Z406">
        <v>0</v>
      </c>
      <c r="AA406">
        <v>0</v>
      </c>
      <c r="AB406">
        <v>0</v>
      </c>
    </row>
    <row r="407" spans="1:28" x14ac:dyDescent="0.3">
      <c r="A407" s="1">
        <v>44086</v>
      </c>
      <c r="B407" t="s">
        <v>195</v>
      </c>
      <c r="C407">
        <v>1</v>
      </c>
      <c r="D407">
        <v>0</v>
      </c>
      <c r="E407">
        <v>0</v>
      </c>
      <c r="F407">
        <v>0</v>
      </c>
      <c r="G407">
        <v>0</v>
      </c>
      <c r="H407">
        <v>0</v>
      </c>
      <c r="I407">
        <v>0</v>
      </c>
      <c r="J407">
        <v>0</v>
      </c>
      <c r="K407">
        <v>0</v>
      </c>
      <c r="L407">
        <v>0</v>
      </c>
      <c r="M407">
        <v>2182271</v>
      </c>
      <c r="N407" t="s">
        <v>196</v>
      </c>
      <c r="O407" t="s">
        <v>197</v>
      </c>
      <c r="P407">
        <v>0</v>
      </c>
      <c r="Q407">
        <v>0</v>
      </c>
      <c r="R407">
        <v>0</v>
      </c>
      <c r="S407">
        <v>0</v>
      </c>
      <c r="T407">
        <v>0</v>
      </c>
      <c r="U407">
        <v>0</v>
      </c>
      <c r="V407">
        <v>0</v>
      </c>
      <c r="W407">
        <v>0</v>
      </c>
      <c r="X407">
        <v>0</v>
      </c>
      <c r="Y407">
        <v>0</v>
      </c>
      <c r="Z407">
        <v>0</v>
      </c>
      <c r="AA407">
        <v>0</v>
      </c>
      <c r="AB407">
        <v>0</v>
      </c>
    </row>
    <row r="408" spans="1:28" x14ac:dyDescent="0.3">
      <c r="A408" s="1">
        <v>44087</v>
      </c>
      <c r="B408" t="s">
        <v>46</v>
      </c>
      <c r="C408">
        <v>13</v>
      </c>
      <c r="D408">
        <v>417.83</v>
      </c>
      <c r="E408">
        <v>0</v>
      </c>
      <c r="F408">
        <v>417.83</v>
      </c>
      <c r="G408">
        <v>4</v>
      </c>
      <c r="H408">
        <v>0</v>
      </c>
      <c r="I408">
        <v>12.53</v>
      </c>
      <c r="J408">
        <v>30.77</v>
      </c>
      <c r="K408">
        <v>96.38</v>
      </c>
      <c r="L408">
        <v>104.46</v>
      </c>
      <c r="M408">
        <v>445875</v>
      </c>
      <c r="N408" t="s">
        <v>47</v>
      </c>
      <c r="O408" t="s">
        <v>48</v>
      </c>
      <c r="P408">
        <v>4</v>
      </c>
      <c r="Q408">
        <v>0</v>
      </c>
      <c r="R408">
        <v>0</v>
      </c>
      <c r="S408">
        <v>0</v>
      </c>
      <c r="T408">
        <v>0</v>
      </c>
      <c r="U408">
        <v>0</v>
      </c>
      <c r="V408">
        <v>12.53</v>
      </c>
      <c r="W408">
        <v>0</v>
      </c>
      <c r="X408">
        <v>0</v>
      </c>
      <c r="Y408">
        <v>0</v>
      </c>
      <c r="Z408">
        <v>0</v>
      </c>
      <c r="AA408">
        <v>0</v>
      </c>
      <c r="AB408">
        <v>2.5099999999999998</v>
      </c>
    </row>
    <row r="409" spans="1:28" x14ac:dyDescent="0.3">
      <c r="A409" s="1">
        <v>44087</v>
      </c>
      <c r="B409" t="s">
        <v>90</v>
      </c>
      <c r="C409">
        <v>2</v>
      </c>
      <c r="D409">
        <v>323.2</v>
      </c>
      <c r="E409">
        <v>0</v>
      </c>
      <c r="F409">
        <v>323.2</v>
      </c>
      <c r="G409">
        <v>1</v>
      </c>
      <c r="H409">
        <v>0</v>
      </c>
      <c r="I409">
        <v>9.6999999999999993</v>
      </c>
      <c r="J409">
        <v>50</v>
      </c>
      <c r="K409">
        <v>485</v>
      </c>
      <c r="L409">
        <v>323.2</v>
      </c>
      <c r="M409">
        <v>136482</v>
      </c>
      <c r="N409" t="s">
        <v>91</v>
      </c>
      <c r="O409" t="s">
        <v>92</v>
      </c>
      <c r="P409">
        <v>1</v>
      </c>
      <c r="Q409">
        <v>0</v>
      </c>
      <c r="R409">
        <v>0</v>
      </c>
      <c r="S409">
        <v>0</v>
      </c>
      <c r="T409">
        <v>0</v>
      </c>
      <c r="U409">
        <v>0</v>
      </c>
      <c r="V409">
        <v>9.6999999999999993</v>
      </c>
      <c r="W409">
        <v>0</v>
      </c>
      <c r="X409">
        <v>0</v>
      </c>
      <c r="Y409">
        <v>0</v>
      </c>
      <c r="Z409">
        <v>0</v>
      </c>
      <c r="AA409">
        <v>0</v>
      </c>
      <c r="AB409">
        <v>1.94</v>
      </c>
    </row>
    <row r="410" spans="1:28" x14ac:dyDescent="0.3">
      <c r="A410" s="1">
        <v>44087</v>
      </c>
      <c r="B410" t="s">
        <v>52</v>
      </c>
      <c r="C410">
        <v>52</v>
      </c>
      <c r="D410">
        <v>189</v>
      </c>
      <c r="E410">
        <v>0</v>
      </c>
      <c r="F410">
        <v>189</v>
      </c>
      <c r="G410">
        <v>1</v>
      </c>
      <c r="H410">
        <v>0</v>
      </c>
      <c r="I410">
        <v>28.35</v>
      </c>
      <c r="J410">
        <v>1.92</v>
      </c>
      <c r="K410">
        <v>54.52</v>
      </c>
      <c r="L410">
        <v>189</v>
      </c>
      <c r="M410">
        <v>1584217</v>
      </c>
      <c r="N410" t="s">
        <v>53</v>
      </c>
      <c r="O410" t="s">
        <v>54</v>
      </c>
      <c r="P410">
        <v>1</v>
      </c>
      <c r="Q410">
        <v>0</v>
      </c>
      <c r="R410">
        <v>0</v>
      </c>
      <c r="S410">
        <v>0</v>
      </c>
      <c r="T410">
        <v>0</v>
      </c>
      <c r="U410">
        <v>0</v>
      </c>
      <c r="V410">
        <v>28.35</v>
      </c>
      <c r="W410">
        <v>0</v>
      </c>
      <c r="X410">
        <v>0</v>
      </c>
      <c r="Y410">
        <v>0</v>
      </c>
      <c r="Z410">
        <v>0</v>
      </c>
      <c r="AA410">
        <v>0</v>
      </c>
      <c r="AB410">
        <v>5.67</v>
      </c>
    </row>
    <row r="411" spans="1:28" x14ac:dyDescent="0.3">
      <c r="A411" s="1">
        <v>44087</v>
      </c>
      <c r="B411" t="s">
        <v>31</v>
      </c>
      <c r="C411">
        <v>1</v>
      </c>
      <c r="D411">
        <v>186.48</v>
      </c>
      <c r="E411">
        <v>0</v>
      </c>
      <c r="F411">
        <v>186.48</v>
      </c>
      <c r="G411">
        <v>1</v>
      </c>
      <c r="H411">
        <v>0</v>
      </c>
      <c r="I411">
        <v>18.649999999999999</v>
      </c>
      <c r="J411">
        <v>100</v>
      </c>
      <c r="K411">
        <v>1865</v>
      </c>
      <c r="L411">
        <v>186.48</v>
      </c>
      <c r="M411">
        <v>1663605</v>
      </c>
      <c r="N411" t="s">
        <v>32</v>
      </c>
      <c r="O411" t="s">
        <v>33</v>
      </c>
      <c r="P411">
        <v>1</v>
      </c>
      <c r="Q411">
        <v>0</v>
      </c>
      <c r="R411">
        <v>0</v>
      </c>
      <c r="S411">
        <v>0</v>
      </c>
      <c r="T411">
        <v>0</v>
      </c>
      <c r="U411">
        <v>0</v>
      </c>
      <c r="V411">
        <v>18.649999999999999</v>
      </c>
      <c r="W411">
        <v>0</v>
      </c>
      <c r="X411">
        <v>0</v>
      </c>
      <c r="Y411">
        <v>0</v>
      </c>
      <c r="Z411">
        <v>0</v>
      </c>
      <c r="AA411">
        <v>0</v>
      </c>
      <c r="AB411">
        <v>3.73</v>
      </c>
    </row>
    <row r="412" spans="1:28" x14ac:dyDescent="0.3">
      <c r="A412" s="1">
        <v>44087</v>
      </c>
      <c r="B412" t="s">
        <v>60</v>
      </c>
      <c r="C412">
        <v>20</v>
      </c>
      <c r="D412">
        <v>184.5</v>
      </c>
      <c r="E412">
        <v>0</v>
      </c>
      <c r="F412">
        <v>184.5</v>
      </c>
      <c r="G412">
        <v>1</v>
      </c>
      <c r="H412">
        <v>0</v>
      </c>
      <c r="I412">
        <v>33.21</v>
      </c>
      <c r="J412">
        <v>5</v>
      </c>
      <c r="K412">
        <v>166.05</v>
      </c>
      <c r="L412">
        <v>184.5</v>
      </c>
      <c r="M412">
        <v>748814</v>
      </c>
      <c r="N412" t="s">
        <v>61</v>
      </c>
      <c r="O412" t="s">
        <v>62</v>
      </c>
      <c r="P412">
        <v>1</v>
      </c>
      <c r="Q412">
        <v>0</v>
      </c>
      <c r="R412">
        <v>0</v>
      </c>
      <c r="S412">
        <v>0</v>
      </c>
      <c r="T412">
        <v>0</v>
      </c>
      <c r="U412">
        <v>0</v>
      </c>
      <c r="V412">
        <v>33.21</v>
      </c>
      <c r="W412">
        <v>0</v>
      </c>
      <c r="X412">
        <v>0</v>
      </c>
      <c r="Y412">
        <v>0</v>
      </c>
      <c r="Z412">
        <v>0</v>
      </c>
      <c r="AA412">
        <v>0</v>
      </c>
      <c r="AB412">
        <v>6.64</v>
      </c>
    </row>
    <row r="413" spans="1:28" x14ac:dyDescent="0.3">
      <c r="A413" s="1">
        <v>44087</v>
      </c>
      <c r="B413" t="s">
        <v>43</v>
      </c>
      <c r="C413">
        <v>23</v>
      </c>
      <c r="D413">
        <v>163.46</v>
      </c>
      <c r="E413">
        <v>0</v>
      </c>
      <c r="F413">
        <v>163.46</v>
      </c>
      <c r="G413">
        <v>1</v>
      </c>
      <c r="H413">
        <v>0</v>
      </c>
      <c r="I413">
        <v>4.9000000000000004</v>
      </c>
      <c r="J413">
        <v>4.3499999999999996</v>
      </c>
      <c r="K413">
        <v>21.3</v>
      </c>
      <c r="L413">
        <v>163.46</v>
      </c>
      <c r="M413">
        <v>389818</v>
      </c>
      <c r="N413" t="s">
        <v>44</v>
      </c>
      <c r="O413" t="s">
        <v>45</v>
      </c>
      <c r="P413">
        <v>1</v>
      </c>
      <c r="Q413">
        <v>0</v>
      </c>
      <c r="R413">
        <v>0</v>
      </c>
      <c r="S413">
        <v>0</v>
      </c>
      <c r="T413">
        <v>0</v>
      </c>
      <c r="U413">
        <v>0</v>
      </c>
      <c r="V413">
        <v>4.9000000000000004</v>
      </c>
      <c r="W413">
        <v>0</v>
      </c>
      <c r="X413">
        <v>0</v>
      </c>
      <c r="Y413">
        <v>0</v>
      </c>
      <c r="Z413">
        <v>0</v>
      </c>
      <c r="AA413">
        <v>0</v>
      </c>
      <c r="AB413">
        <v>0.98</v>
      </c>
    </row>
    <row r="414" spans="1:28" x14ac:dyDescent="0.3">
      <c r="A414" s="1">
        <v>44087</v>
      </c>
      <c r="B414" t="s">
        <v>28</v>
      </c>
      <c r="C414">
        <v>123</v>
      </c>
      <c r="D414">
        <v>163.16999999999999</v>
      </c>
      <c r="E414">
        <v>0</v>
      </c>
      <c r="F414">
        <v>163.16999999999999</v>
      </c>
      <c r="G414">
        <v>1</v>
      </c>
      <c r="H414">
        <v>0</v>
      </c>
      <c r="I414">
        <v>24.48</v>
      </c>
      <c r="J414">
        <v>0.81</v>
      </c>
      <c r="K414">
        <v>19.899999999999999</v>
      </c>
      <c r="L414">
        <v>163.16999999999999</v>
      </c>
      <c r="M414">
        <v>314743</v>
      </c>
      <c r="N414" t="s">
        <v>29</v>
      </c>
      <c r="O414" t="s">
        <v>30</v>
      </c>
      <c r="P414">
        <v>1</v>
      </c>
      <c r="Q414">
        <v>0</v>
      </c>
      <c r="R414">
        <v>0</v>
      </c>
      <c r="S414">
        <v>0</v>
      </c>
      <c r="T414">
        <v>0</v>
      </c>
      <c r="U414">
        <v>0</v>
      </c>
      <c r="V414">
        <v>24.48</v>
      </c>
      <c r="W414">
        <v>0</v>
      </c>
      <c r="X414">
        <v>0</v>
      </c>
      <c r="Y414">
        <v>0</v>
      </c>
      <c r="Z414">
        <v>0</v>
      </c>
      <c r="AA414">
        <v>0</v>
      </c>
      <c r="AB414">
        <v>4.9000000000000004</v>
      </c>
    </row>
    <row r="415" spans="1:28" x14ac:dyDescent="0.3">
      <c r="A415" s="1">
        <v>44087</v>
      </c>
      <c r="B415" t="s">
        <v>40</v>
      </c>
      <c r="C415">
        <v>48</v>
      </c>
      <c r="D415">
        <v>148.16</v>
      </c>
      <c r="E415">
        <v>0</v>
      </c>
      <c r="F415">
        <v>148.16</v>
      </c>
      <c r="G415">
        <v>1</v>
      </c>
      <c r="H415">
        <v>0</v>
      </c>
      <c r="I415">
        <v>29.63</v>
      </c>
      <c r="J415">
        <v>2.08</v>
      </c>
      <c r="K415">
        <v>61.73</v>
      </c>
      <c r="L415">
        <v>148.16</v>
      </c>
      <c r="M415">
        <v>1088116</v>
      </c>
      <c r="N415" t="s">
        <v>41</v>
      </c>
      <c r="O415" t="s">
        <v>42</v>
      </c>
      <c r="P415">
        <v>1</v>
      </c>
      <c r="Q415">
        <v>0</v>
      </c>
      <c r="R415">
        <v>0</v>
      </c>
      <c r="S415">
        <v>0</v>
      </c>
      <c r="T415">
        <v>0</v>
      </c>
      <c r="U415">
        <v>0</v>
      </c>
      <c r="V415">
        <v>29.63</v>
      </c>
      <c r="W415">
        <v>0</v>
      </c>
      <c r="X415">
        <v>0</v>
      </c>
      <c r="Y415">
        <v>0</v>
      </c>
      <c r="Z415">
        <v>0</v>
      </c>
      <c r="AA415">
        <v>0</v>
      </c>
      <c r="AB415">
        <v>5.93</v>
      </c>
    </row>
    <row r="416" spans="1:28" x14ac:dyDescent="0.3">
      <c r="A416" s="1">
        <v>44087</v>
      </c>
      <c r="B416" t="s">
        <v>195</v>
      </c>
      <c r="C416">
        <v>1</v>
      </c>
      <c r="D416">
        <v>147.6</v>
      </c>
      <c r="E416">
        <v>0</v>
      </c>
      <c r="F416">
        <v>147.6</v>
      </c>
      <c r="G416">
        <v>1</v>
      </c>
      <c r="H416">
        <v>0</v>
      </c>
      <c r="I416">
        <v>4.43</v>
      </c>
      <c r="J416">
        <v>100</v>
      </c>
      <c r="K416">
        <v>443</v>
      </c>
      <c r="L416">
        <v>147.6</v>
      </c>
      <c r="M416">
        <v>2182271</v>
      </c>
      <c r="N416" t="s">
        <v>196</v>
      </c>
      <c r="O416" t="s">
        <v>197</v>
      </c>
      <c r="P416">
        <v>1</v>
      </c>
      <c r="Q416">
        <v>0</v>
      </c>
      <c r="R416">
        <v>0</v>
      </c>
      <c r="S416">
        <v>0</v>
      </c>
      <c r="T416">
        <v>0</v>
      </c>
      <c r="U416">
        <v>0</v>
      </c>
      <c r="V416">
        <v>4.43</v>
      </c>
      <c r="W416">
        <v>0</v>
      </c>
      <c r="X416">
        <v>0</v>
      </c>
      <c r="Y416">
        <v>0</v>
      </c>
      <c r="Z416">
        <v>0</v>
      </c>
      <c r="AA416">
        <v>0</v>
      </c>
      <c r="AB416">
        <v>0.89</v>
      </c>
    </row>
    <row r="417" spans="1:28" x14ac:dyDescent="0.3">
      <c r="A417" s="1">
        <v>44087</v>
      </c>
      <c r="B417" t="s">
        <v>49</v>
      </c>
      <c r="C417">
        <v>58</v>
      </c>
      <c r="D417">
        <v>0</v>
      </c>
      <c r="E417">
        <v>0</v>
      </c>
      <c r="F417">
        <v>0</v>
      </c>
      <c r="G417">
        <v>0</v>
      </c>
      <c r="H417">
        <v>0</v>
      </c>
      <c r="I417">
        <v>0</v>
      </c>
      <c r="J417">
        <v>0</v>
      </c>
      <c r="K417">
        <v>0</v>
      </c>
      <c r="L417">
        <v>0</v>
      </c>
      <c r="M417">
        <v>725033</v>
      </c>
      <c r="N417" t="s">
        <v>50</v>
      </c>
      <c r="O417" t="s">
        <v>51</v>
      </c>
      <c r="P417">
        <v>0</v>
      </c>
      <c r="Q417">
        <v>0</v>
      </c>
      <c r="R417">
        <v>0</v>
      </c>
      <c r="S417">
        <v>0</v>
      </c>
      <c r="T417">
        <v>0</v>
      </c>
      <c r="U417">
        <v>0</v>
      </c>
      <c r="V417">
        <v>0</v>
      </c>
      <c r="W417">
        <v>0</v>
      </c>
      <c r="X417">
        <v>0</v>
      </c>
      <c r="Y417">
        <v>0</v>
      </c>
      <c r="Z417">
        <v>0</v>
      </c>
      <c r="AA417">
        <v>0</v>
      </c>
      <c r="AB417">
        <v>0</v>
      </c>
    </row>
    <row r="418" spans="1:28" x14ac:dyDescent="0.3">
      <c r="A418" s="1">
        <v>44087</v>
      </c>
      <c r="B418" t="s">
        <v>55</v>
      </c>
      <c r="C418">
        <v>23</v>
      </c>
      <c r="D418">
        <v>0</v>
      </c>
      <c r="E418">
        <v>0</v>
      </c>
      <c r="F418">
        <v>0</v>
      </c>
      <c r="G418">
        <v>0</v>
      </c>
      <c r="H418">
        <v>0</v>
      </c>
      <c r="I418">
        <v>0</v>
      </c>
      <c r="J418">
        <v>0</v>
      </c>
      <c r="K418">
        <v>0</v>
      </c>
      <c r="L418">
        <v>0</v>
      </c>
      <c r="M418">
        <v>1773960</v>
      </c>
      <c r="N418" t="s">
        <v>35</v>
      </c>
      <c r="O418" t="s">
        <v>56</v>
      </c>
      <c r="P418">
        <v>0</v>
      </c>
      <c r="Q418">
        <v>0</v>
      </c>
      <c r="R418">
        <v>0</v>
      </c>
      <c r="S418">
        <v>0</v>
      </c>
      <c r="T418">
        <v>0</v>
      </c>
      <c r="U418">
        <v>0</v>
      </c>
      <c r="V418">
        <v>0</v>
      </c>
      <c r="W418">
        <v>0</v>
      </c>
      <c r="X418">
        <v>0</v>
      </c>
      <c r="Y418">
        <v>0</v>
      </c>
      <c r="Z418">
        <v>0</v>
      </c>
      <c r="AA418">
        <v>0</v>
      </c>
      <c r="AB418">
        <v>0</v>
      </c>
    </row>
    <row r="419" spans="1:28" x14ac:dyDescent="0.3">
      <c r="A419" s="1">
        <v>44087</v>
      </c>
      <c r="B419" t="s">
        <v>37</v>
      </c>
      <c r="C419">
        <v>17</v>
      </c>
      <c r="D419">
        <v>0</v>
      </c>
      <c r="E419">
        <v>0</v>
      </c>
      <c r="F419">
        <v>0</v>
      </c>
      <c r="G419">
        <v>0</v>
      </c>
      <c r="H419">
        <v>0</v>
      </c>
      <c r="I419">
        <v>0</v>
      </c>
      <c r="J419">
        <v>0</v>
      </c>
      <c r="K419">
        <v>0</v>
      </c>
      <c r="L419">
        <v>0</v>
      </c>
      <c r="M419">
        <v>201285</v>
      </c>
      <c r="N419" t="s">
        <v>38</v>
      </c>
      <c r="O419" t="s">
        <v>39</v>
      </c>
      <c r="P419">
        <v>0</v>
      </c>
      <c r="Q419">
        <v>0</v>
      </c>
      <c r="R419">
        <v>0</v>
      </c>
      <c r="S419">
        <v>0</v>
      </c>
      <c r="T419">
        <v>0</v>
      </c>
      <c r="U419">
        <v>0</v>
      </c>
      <c r="V419">
        <v>0</v>
      </c>
      <c r="W419">
        <v>0</v>
      </c>
      <c r="X419">
        <v>0</v>
      </c>
      <c r="Y419">
        <v>0</v>
      </c>
      <c r="Z419">
        <v>0</v>
      </c>
      <c r="AA419">
        <v>0</v>
      </c>
      <c r="AB419">
        <v>0</v>
      </c>
    </row>
    <row r="420" spans="1:28" x14ac:dyDescent="0.3">
      <c r="A420" s="1">
        <v>44087</v>
      </c>
      <c r="B420" t="s">
        <v>63</v>
      </c>
      <c r="C420">
        <v>10</v>
      </c>
      <c r="D420">
        <v>0</v>
      </c>
      <c r="E420">
        <v>0</v>
      </c>
      <c r="F420">
        <v>0</v>
      </c>
      <c r="G420">
        <v>0</v>
      </c>
      <c r="H420">
        <v>0</v>
      </c>
      <c r="I420">
        <v>0</v>
      </c>
      <c r="J420">
        <v>0</v>
      </c>
      <c r="K420">
        <v>0</v>
      </c>
      <c r="L420">
        <v>0</v>
      </c>
      <c r="M420">
        <v>140995</v>
      </c>
      <c r="N420" t="s">
        <v>64</v>
      </c>
      <c r="O420" t="s">
        <v>65</v>
      </c>
      <c r="P420">
        <v>0</v>
      </c>
      <c r="Q420">
        <v>0</v>
      </c>
      <c r="R420">
        <v>0</v>
      </c>
      <c r="S420">
        <v>0</v>
      </c>
      <c r="T420">
        <v>0</v>
      </c>
      <c r="U420">
        <v>0</v>
      </c>
      <c r="V420">
        <v>0</v>
      </c>
      <c r="W420">
        <v>0</v>
      </c>
      <c r="X420">
        <v>0</v>
      </c>
      <c r="Y420">
        <v>0</v>
      </c>
      <c r="Z420">
        <v>0</v>
      </c>
      <c r="AA420">
        <v>0</v>
      </c>
      <c r="AB420">
        <v>0</v>
      </c>
    </row>
    <row r="421" spans="1:28" x14ac:dyDescent="0.3">
      <c r="A421" s="1">
        <v>44087</v>
      </c>
      <c r="B421" t="s">
        <v>34</v>
      </c>
      <c r="C421">
        <v>10</v>
      </c>
      <c r="D421">
        <v>0</v>
      </c>
      <c r="E421">
        <v>0</v>
      </c>
      <c r="F421">
        <v>0</v>
      </c>
      <c r="G421">
        <v>0</v>
      </c>
      <c r="H421">
        <v>0</v>
      </c>
      <c r="I421">
        <v>0</v>
      </c>
      <c r="J421">
        <v>0</v>
      </c>
      <c r="K421">
        <v>0</v>
      </c>
      <c r="L421">
        <v>0</v>
      </c>
      <c r="M421">
        <v>2284878</v>
      </c>
      <c r="N421" t="s">
        <v>35</v>
      </c>
      <c r="O421" t="s">
        <v>36</v>
      </c>
      <c r="P421">
        <v>0</v>
      </c>
      <c r="Q421">
        <v>0</v>
      </c>
      <c r="R421">
        <v>0</v>
      </c>
      <c r="S421">
        <v>0</v>
      </c>
      <c r="T421">
        <v>0</v>
      </c>
      <c r="U421">
        <v>0</v>
      </c>
      <c r="V421">
        <v>0</v>
      </c>
      <c r="W421">
        <v>0</v>
      </c>
      <c r="X421">
        <v>0</v>
      </c>
      <c r="Y421">
        <v>0</v>
      </c>
      <c r="Z421">
        <v>0</v>
      </c>
      <c r="AA421">
        <v>0</v>
      </c>
      <c r="AB421">
        <v>0</v>
      </c>
    </row>
    <row r="422" spans="1:28" x14ac:dyDescent="0.3">
      <c r="A422" s="1">
        <v>44087</v>
      </c>
      <c r="B422" t="s">
        <v>57</v>
      </c>
      <c r="C422">
        <v>5</v>
      </c>
      <c r="D422">
        <v>0</v>
      </c>
      <c r="E422">
        <v>0</v>
      </c>
      <c r="F422">
        <v>0</v>
      </c>
      <c r="G422">
        <v>0</v>
      </c>
      <c r="H422">
        <v>0</v>
      </c>
      <c r="I422">
        <v>0</v>
      </c>
      <c r="J422">
        <v>0</v>
      </c>
      <c r="K422">
        <v>0</v>
      </c>
      <c r="L422">
        <v>0</v>
      </c>
      <c r="M422">
        <v>2053730</v>
      </c>
      <c r="N422" t="s">
        <v>58</v>
      </c>
      <c r="O422" t="s">
        <v>59</v>
      </c>
      <c r="P422">
        <v>0</v>
      </c>
      <c r="Q422">
        <v>0</v>
      </c>
      <c r="R422">
        <v>0</v>
      </c>
      <c r="S422">
        <v>0</v>
      </c>
      <c r="T422">
        <v>0</v>
      </c>
      <c r="U422">
        <v>0</v>
      </c>
      <c r="V422">
        <v>0</v>
      </c>
      <c r="W422">
        <v>0</v>
      </c>
      <c r="X422">
        <v>0</v>
      </c>
      <c r="Y422">
        <v>0</v>
      </c>
      <c r="Z422">
        <v>0</v>
      </c>
      <c r="AA422">
        <v>0</v>
      </c>
      <c r="AB422">
        <v>0</v>
      </c>
    </row>
    <row r="423" spans="1:28" x14ac:dyDescent="0.3">
      <c r="A423" s="1">
        <v>44087</v>
      </c>
      <c r="B423" t="s">
        <v>72</v>
      </c>
      <c r="C423">
        <v>4</v>
      </c>
      <c r="D423">
        <v>0</v>
      </c>
      <c r="E423">
        <v>0</v>
      </c>
      <c r="F423">
        <v>0</v>
      </c>
      <c r="G423">
        <v>0</v>
      </c>
      <c r="H423">
        <v>0</v>
      </c>
      <c r="I423">
        <v>0</v>
      </c>
      <c r="J423">
        <v>0</v>
      </c>
      <c r="K423">
        <v>0</v>
      </c>
      <c r="L423">
        <v>0</v>
      </c>
      <c r="M423">
        <v>514792</v>
      </c>
      <c r="N423" t="s">
        <v>73</v>
      </c>
      <c r="O423" t="s">
        <v>74</v>
      </c>
      <c r="P423">
        <v>0</v>
      </c>
      <c r="Q423">
        <v>0</v>
      </c>
      <c r="R423">
        <v>0</v>
      </c>
      <c r="S423">
        <v>0</v>
      </c>
      <c r="T423">
        <v>0</v>
      </c>
      <c r="U423">
        <v>0</v>
      </c>
      <c r="V423">
        <v>0</v>
      </c>
      <c r="W423">
        <v>0</v>
      </c>
      <c r="X423">
        <v>0</v>
      </c>
      <c r="Y423">
        <v>0</v>
      </c>
      <c r="Z423">
        <v>0</v>
      </c>
      <c r="AA423">
        <v>0</v>
      </c>
      <c r="AB423">
        <v>0</v>
      </c>
    </row>
    <row r="424" spans="1:28" x14ac:dyDescent="0.3">
      <c r="A424" s="1">
        <v>44087</v>
      </c>
      <c r="B424" t="s">
        <v>75</v>
      </c>
      <c r="C424">
        <v>4</v>
      </c>
      <c r="D424">
        <v>0</v>
      </c>
      <c r="E424">
        <v>0</v>
      </c>
      <c r="F424">
        <v>0</v>
      </c>
      <c r="G424">
        <v>0</v>
      </c>
      <c r="H424">
        <v>0</v>
      </c>
      <c r="I424">
        <v>0</v>
      </c>
      <c r="J424">
        <v>0</v>
      </c>
      <c r="K424">
        <v>0</v>
      </c>
      <c r="L424">
        <v>0</v>
      </c>
      <c r="M424">
        <v>745788</v>
      </c>
      <c r="N424" t="s">
        <v>76</v>
      </c>
      <c r="O424" t="s">
        <v>77</v>
      </c>
      <c r="P424">
        <v>0</v>
      </c>
      <c r="Q424">
        <v>0</v>
      </c>
      <c r="R424">
        <v>0</v>
      </c>
      <c r="S424">
        <v>0</v>
      </c>
      <c r="T424">
        <v>0</v>
      </c>
      <c r="U424">
        <v>0</v>
      </c>
      <c r="V424">
        <v>0</v>
      </c>
      <c r="W424">
        <v>0</v>
      </c>
      <c r="X424">
        <v>0</v>
      </c>
      <c r="Y424">
        <v>0</v>
      </c>
      <c r="Z424">
        <v>0</v>
      </c>
      <c r="AA424">
        <v>0</v>
      </c>
      <c r="AB424">
        <v>0</v>
      </c>
    </row>
    <row r="425" spans="1:28" x14ac:dyDescent="0.3">
      <c r="A425" s="1">
        <v>44087</v>
      </c>
      <c r="B425" t="s">
        <v>84</v>
      </c>
      <c r="C425">
        <v>3</v>
      </c>
      <c r="D425">
        <v>0</v>
      </c>
      <c r="E425">
        <v>0</v>
      </c>
      <c r="F425">
        <v>0</v>
      </c>
      <c r="G425">
        <v>0</v>
      </c>
      <c r="H425">
        <v>0</v>
      </c>
      <c r="I425">
        <v>0</v>
      </c>
      <c r="J425">
        <v>0</v>
      </c>
      <c r="K425">
        <v>0</v>
      </c>
      <c r="L425">
        <v>0</v>
      </c>
      <c r="M425">
        <v>1242889</v>
      </c>
      <c r="N425" t="s">
        <v>85</v>
      </c>
      <c r="O425" t="s">
        <v>86</v>
      </c>
      <c r="P425">
        <v>0</v>
      </c>
      <c r="Q425">
        <v>0</v>
      </c>
      <c r="R425">
        <v>0</v>
      </c>
      <c r="S425">
        <v>0</v>
      </c>
      <c r="T425">
        <v>0</v>
      </c>
      <c r="U425">
        <v>0</v>
      </c>
      <c r="V425">
        <v>0</v>
      </c>
      <c r="W425">
        <v>0</v>
      </c>
      <c r="X425">
        <v>0</v>
      </c>
      <c r="Y425">
        <v>0</v>
      </c>
      <c r="Z425">
        <v>0</v>
      </c>
      <c r="AA425">
        <v>0</v>
      </c>
      <c r="AB425">
        <v>0</v>
      </c>
    </row>
    <row r="426" spans="1:28" x14ac:dyDescent="0.3">
      <c r="A426" s="1">
        <v>44087</v>
      </c>
      <c r="B426" t="s">
        <v>180</v>
      </c>
      <c r="C426">
        <v>3</v>
      </c>
      <c r="D426">
        <v>0</v>
      </c>
      <c r="E426">
        <v>0</v>
      </c>
      <c r="F426">
        <v>0</v>
      </c>
      <c r="G426">
        <v>0</v>
      </c>
      <c r="H426">
        <v>0</v>
      </c>
      <c r="I426">
        <v>0</v>
      </c>
      <c r="J426">
        <v>0</v>
      </c>
      <c r="K426">
        <v>0</v>
      </c>
      <c r="L426">
        <v>0</v>
      </c>
      <c r="M426">
        <v>2364026</v>
      </c>
      <c r="N426" t="s">
        <v>181</v>
      </c>
      <c r="O426" t="s">
        <v>182</v>
      </c>
      <c r="P426">
        <v>0</v>
      </c>
      <c r="Q426">
        <v>0</v>
      </c>
      <c r="R426">
        <v>0</v>
      </c>
      <c r="S426">
        <v>0</v>
      </c>
      <c r="T426">
        <v>0</v>
      </c>
      <c r="U426">
        <v>0</v>
      </c>
      <c r="V426">
        <v>0</v>
      </c>
      <c r="W426">
        <v>0</v>
      </c>
      <c r="X426">
        <v>0</v>
      </c>
      <c r="Y426">
        <v>0</v>
      </c>
      <c r="Z426">
        <v>0</v>
      </c>
      <c r="AA426">
        <v>0</v>
      </c>
      <c r="AB426">
        <v>0</v>
      </c>
    </row>
    <row r="427" spans="1:28" x14ac:dyDescent="0.3">
      <c r="A427" s="1">
        <v>44087</v>
      </c>
      <c r="B427" t="s">
        <v>120</v>
      </c>
      <c r="C427">
        <v>2</v>
      </c>
      <c r="D427">
        <v>0</v>
      </c>
      <c r="E427">
        <v>0</v>
      </c>
      <c r="F427">
        <v>0</v>
      </c>
      <c r="G427">
        <v>0</v>
      </c>
      <c r="H427">
        <v>0</v>
      </c>
      <c r="I427">
        <v>0</v>
      </c>
      <c r="J427">
        <v>0</v>
      </c>
      <c r="K427">
        <v>0</v>
      </c>
      <c r="L427">
        <v>0</v>
      </c>
      <c r="M427">
        <v>154911</v>
      </c>
      <c r="N427" t="s">
        <v>121</v>
      </c>
      <c r="O427" t="s">
        <v>122</v>
      </c>
      <c r="P427">
        <v>0</v>
      </c>
      <c r="Q427">
        <v>0</v>
      </c>
      <c r="R427">
        <v>0</v>
      </c>
      <c r="S427">
        <v>0</v>
      </c>
      <c r="T427">
        <v>0</v>
      </c>
      <c r="U427">
        <v>0</v>
      </c>
      <c r="V427">
        <v>0</v>
      </c>
      <c r="W427">
        <v>0</v>
      </c>
      <c r="X427">
        <v>0</v>
      </c>
      <c r="Y427">
        <v>0</v>
      </c>
      <c r="Z427">
        <v>0</v>
      </c>
      <c r="AA427">
        <v>0</v>
      </c>
      <c r="AB427">
        <v>0</v>
      </c>
    </row>
    <row r="428" spans="1:28" x14ac:dyDescent="0.3">
      <c r="A428" s="1">
        <v>44087</v>
      </c>
      <c r="B428" t="s">
        <v>123</v>
      </c>
      <c r="C428">
        <v>2</v>
      </c>
      <c r="D428">
        <v>0</v>
      </c>
      <c r="E428">
        <v>0</v>
      </c>
      <c r="F428">
        <v>0</v>
      </c>
      <c r="G428">
        <v>0</v>
      </c>
      <c r="H428">
        <v>0</v>
      </c>
      <c r="I428">
        <v>0</v>
      </c>
      <c r="J428">
        <v>0</v>
      </c>
      <c r="K428">
        <v>0</v>
      </c>
      <c r="L428">
        <v>0</v>
      </c>
      <c r="M428">
        <v>213636</v>
      </c>
      <c r="N428" t="s">
        <v>124</v>
      </c>
      <c r="O428" t="s">
        <v>125</v>
      </c>
      <c r="P428">
        <v>0</v>
      </c>
      <c r="Q428">
        <v>0</v>
      </c>
      <c r="R428">
        <v>0</v>
      </c>
      <c r="S428">
        <v>0</v>
      </c>
      <c r="T428">
        <v>0</v>
      </c>
      <c r="U428">
        <v>0</v>
      </c>
      <c r="V428">
        <v>0</v>
      </c>
      <c r="W428">
        <v>0</v>
      </c>
      <c r="X428">
        <v>0</v>
      </c>
      <c r="Y428">
        <v>0</v>
      </c>
      <c r="Z428">
        <v>0</v>
      </c>
      <c r="AA428">
        <v>0</v>
      </c>
      <c r="AB428">
        <v>0</v>
      </c>
    </row>
    <row r="429" spans="1:28" x14ac:dyDescent="0.3">
      <c r="A429" s="1">
        <v>44087</v>
      </c>
      <c r="B429" t="s">
        <v>78</v>
      </c>
      <c r="C429">
        <v>2</v>
      </c>
      <c r="D429">
        <v>0</v>
      </c>
      <c r="E429">
        <v>0</v>
      </c>
      <c r="F429">
        <v>0</v>
      </c>
      <c r="G429">
        <v>0</v>
      </c>
      <c r="H429">
        <v>0</v>
      </c>
      <c r="I429">
        <v>0</v>
      </c>
      <c r="J429">
        <v>0</v>
      </c>
      <c r="K429">
        <v>0</v>
      </c>
      <c r="L429">
        <v>0</v>
      </c>
      <c r="M429">
        <v>1014069</v>
      </c>
      <c r="N429" t="s">
        <v>79</v>
      </c>
      <c r="O429" t="s">
        <v>80</v>
      </c>
      <c r="P429">
        <v>0</v>
      </c>
      <c r="Q429">
        <v>0</v>
      </c>
      <c r="R429">
        <v>0</v>
      </c>
      <c r="S429">
        <v>0</v>
      </c>
      <c r="T429">
        <v>0</v>
      </c>
      <c r="U429">
        <v>0</v>
      </c>
      <c r="V429">
        <v>0</v>
      </c>
      <c r="W429">
        <v>0</v>
      </c>
      <c r="X429">
        <v>0</v>
      </c>
      <c r="Y429">
        <v>0</v>
      </c>
      <c r="Z429">
        <v>0</v>
      </c>
      <c r="AA429">
        <v>0</v>
      </c>
      <c r="AB429">
        <v>0</v>
      </c>
    </row>
    <row r="430" spans="1:28" x14ac:dyDescent="0.3">
      <c r="A430" s="1">
        <v>44087</v>
      </c>
      <c r="B430" t="s">
        <v>96</v>
      </c>
      <c r="C430">
        <v>2</v>
      </c>
      <c r="D430">
        <v>0</v>
      </c>
      <c r="E430">
        <v>0</v>
      </c>
      <c r="F430">
        <v>0</v>
      </c>
      <c r="G430">
        <v>0</v>
      </c>
      <c r="H430">
        <v>0</v>
      </c>
      <c r="I430">
        <v>0</v>
      </c>
      <c r="J430">
        <v>0</v>
      </c>
      <c r="K430">
        <v>0</v>
      </c>
      <c r="L430">
        <v>0</v>
      </c>
      <c r="M430">
        <v>1372745</v>
      </c>
      <c r="N430" t="s">
        <v>97</v>
      </c>
      <c r="O430" t="s">
        <v>98</v>
      </c>
      <c r="P430">
        <v>0</v>
      </c>
      <c r="Q430">
        <v>0</v>
      </c>
      <c r="R430">
        <v>0</v>
      </c>
      <c r="S430">
        <v>0</v>
      </c>
      <c r="T430">
        <v>0</v>
      </c>
      <c r="U430">
        <v>0</v>
      </c>
      <c r="V430">
        <v>0</v>
      </c>
      <c r="W430">
        <v>0</v>
      </c>
      <c r="X430">
        <v>0</v>
      </c>
      <c r="Y430">
        <v>0</v>
      </c>
      <c r="Z430">
        <v>0</v>
      </c>
      <c r="AA430">
        <v>0</v>
      </c>
      <c r="AB430">
        <v>0</v>
      </c>
    </row>
    <row r="431" spans="1:28" x14ac:dyDescent="0.3">
      <c r="A431" s="1">
        <v>44087</v>
      </c>
      <c r="B431" t="s">
        <v>66</v>
      </c>
      <c r="C431">
        <v>2</v>
      </c>
      <c r="D431">
        <v>0</v>
      </c>
      <c r="E431">
        <v>0</v>
      </c>
      <c r="F431">
        <v>0</v>
      </c>
      <c r="G431">
        <v>0</v>
      </c>
      <c r="H431">
        <v>0</v>
      </c>
      <c r="I431">
        <v>0</v>
      </c>
      <c r="J431">
        <v>0</v>
      </c>
      <c r="K431">
        <v>0</v>
      </c>
      <c r="L431">
        <v>0</v>
      </c>
      <c r="M431">
        <v>1413766</v>
      </c>
      <c r="N431" t="s">
        <v>67</v>
      </c>
      <c r="O431" t="s">
        <v>68</v>
      </c>
      <c r="P431">
        <v>0</v>
      </c>
      <c r="Q431">
        <v>0</v>
      </c>
      <c r="R431">
        <v>0</v>
      </c>
      <c r="S431">
        <v>0</v>
      </c>
      <c r="T431">
        <v>0</v>
      </c>
      <c r="U431">
        <v>0</v>
      </c>
      <c r="V431">
        <v>0</v>
      </c>
      <c r="W431">
        <v>0</v>
      </c>
      <c r="X431">
        <v>0</v>
      </c>
      <c r="Y431">
        <v>0</v>
      </c>
      <c r="Z431">
        <v>0</v>
      </c>
      <c r="AA431">
        <v>0</v>
      </c>
      <c r="AB431">
        <v>0</v>
      </c>
    </row>
    <row r="432" spans="1:28" x14ac:dyDescent="0.3">
      <c r="A432" s="1">
        <v>44087</v>
      </c>
      <c r="B432" t="s">
        <v>138</v>
      </c>
      <c r="C432">
        <v>2</v>
      </c>
      <c r="D432">
        <v>0</v>
      </c>
      <c r="E432">
        <v>0</v>
      </c>
      <c r="F432">
        <v>0</v>
      </c>
      <c r="G432">
        <v>0</v>
      </c>
      <c r="H432">
        <v>0</v>
      </c>
      <c r="I432">
        <v>0</v>
      </c>
      <c r="J432">
        <v>0</v>
      </c>
      <c r="K432">
        <v>0</v>
      </c>
      <c r="L432">
        <v>0</v>
      </c>
      <c r="M432">
        <v>1578665</v>
      </c>
      <c r="N432" t="s">
        <v>139</v>
      </c>
      <c r="O432" t="s">
        <v>140</v>
      </c>
      <c r="P432">
        <v>0</v>
      </c>
      <c r="Q432">
        <v>0</v>
      </c>
      <c r="R432">
        <v>0</v>
      </c>
      <c r="S432">
        <v>0</v>
      </c>
      <c r="T432">
        <v>0</v>
      </c>
      <c r="U432">
        <v>0</v>
      </c>
      <c r="V432">
        <v>0</v>
      </c>
      <c r="W432">
        <v>0</v>
      </c>
      <c r="X432">
        <v>0</v>
      </c>
      <c r="Y432">
        <v>0</v>
      </c>
      <c r="Z432">
        <v>0</v>
      </c>
      <c r="AA432">
        <v>0</v>
      </c>
      <c r="AB432">
        <v>0</v>
      </c>
    </row>
    <row r="433" spans="1:28" x14ac:dyDescent="0.3">
      <c r="A433" s="1">
        <v>44087</v>
      </c>
      <c r="B433" t="s">
        <v>69</v>
      </c>
      <c r="C433">
        <v>2</v>
      </c>
      <c r="D433">
        <v>0</v>
      </c>
      <c r="E433">
        <v>0</v>
      </c>
      <c r="F433">
        <v>0</v>
      </c>
      <c r="G433">
        <v>0</v>
      </c>
      <c r="H433">
        <v>0</v>
      </c>
      <c r="I433">
        <v>0</v>
      </c>
      <c r="J433">
        <v>0</v>
      </c>
      <c r="K433">
        <v>0</v>
      </c>
      <c r="L433">
        <v>0</v>
      </c>
      <c r="M433">
        <v>1772040</v>
      </c>
      <c r="N433" t="s">
        <v>70</v>
      </c>
      <c r="O433" t="s">
        <v>71</v>
      </c>
      <c r="P433">
        <v>0</v>
      </c>
      <c r="Q433">
        <v>0</v>
      </c>
      <c r="R433">
        <v>0</v>
      </c>
      <c r="S433">
        <v>0</v>
      </c>
      <c r="T433">
        <v>0</v>
      </c>
      <c r="U433">
        <v>0</v>
      </c>
      <c r="V433">
        <v>0</v>
      </c>
      <c r="W433">
        <v>0</v>
      </c>
      <c r="X433">
        <v>0</v>
      </c>
      <c r="Y433">
        <v>0</v>
      </c>
      <c r="Z433">
        <v>0</v>
      </c>
      <c r="AA433">
        <v>0</v>
      </c>
      <c r="AB433">
        <v>0</v>
      </c>
    </row>
    <row r="434" spans="1:28" x14ac:dyDescent="0.3">
      <c r="A434" s="1">
        <v>44087</v>
      </c>
      <c r="B434" t="s">
        <v>117</v>
      </c>
      <c r="C434">
        <v>2</v>
      </c>
      <c r="D434">
        <v>0</v>
      </c>
      <c r="E434">
        <v>0</v>
      </c>
      <c r="F434">
        <v>0</v>
      </c>
      <c r="G434">
        <v>0</v>
      </c>
      <c r="H434">
        <v>0</v>
      </c>
      <c r="I434">
        <v>0</v>
      </c>
      <c r="J434">
        <v>0</v>
      </c>
      <c r="K434">
        <v>0</v>
      </c>
      <c r="L434">
        <v>0</v>
      </c>
      <c r="M434">
        <v>2316883</v>
      </c>
      <c r="N434" t="s">
        <v>118</v>
      </c>
      <c r="O434" t="s">
        <v>119</v>
      </c>
      <c r="P434">
        <v>0</v>
      </c>
      <c r="Q434">
        <v>0</v>
      </c>
      <c r="R434">
        <v>0</v>
      </c>
      <c r="S434">
        <v>0</v>
      </c>
      <c r="T434">
        <v>0</v>
      </c>
      <c r="U434">
        <v>0</v>
      </c>
      <c r="V434">
        <v>0</v>
      </c>
      <c r="W434">
        <v>0</v>
      </c>
      <c r="X434">
        <v>0</v>
      </c>
      <c r="Y434">
        <v>0</v>
      </c>
      <c r="Z434">
        <v>0</v>
      </c>
      <c r="AA434">
        <v>0</v>
      </c>
      <c r="AB434">
        <v>0</v>
      </c>
    </row>
    <row r="435" spans="1:28" x14ac:dyDescent="0.3">
      <c r="A435" s="1">
        <v>44087</v>
      </c>
      <c r="B435" t="s">
        <v>126</v>
      </c>
      <c r="C435">
        <v>1</v>
      </c>
      <c r="D435">
        <v>0</v>
      </c>
      <c r="E435">
        <v>0</v>
      </c>
      <c r="F435">
        <v>0</v>
      </c>
      <c r="G435">
        <v>0</v>
      </c>
      <c r="H435">
        <v>0</v>
      </c>
      <c r="I435">
        <v>0</v>
      </c>
      <c r="J435">
        <v>0</v>
      </c>
      <c r="K435">
        <v>0</v>
      </c>
      <c r="L435">
        <v>0</v>
      </c>
      <c r="M435">
        <v>318676</v>
      </c>
      <c r="N435" t="s">
        <v>127</v>
      </c>
      <c r="O435" t="s">
        <v>128</v>
      </c>
      <c r="P435">
        <v>0</v>
      </c>
      <c r="Q435">
        <v>0</v>
      </c>
      <c r="R435">
        <v>0</v>
      </c>
      <c r="S435">
        <v>0</v>
      </c>
      <c r="T435">
        <v>0</v>
      </c>
      <c r="U435">
        <v>0</v>
      </c>
      <c r="V435">
        <v>0</v>
      </c>
      <c r="W435">
        <v>0</v>
      </c>
      <c r="X435">
        <v>0</v>
      </c>
      <c r="Y435">
        <v>0</v>
      </c>
      <c r="Z435">
        <v>0</v>
      </c>
      <c r="AA435">
        <v>0</v>
      </c>
      <c r="AB435">
        <v>0</v>
      </c>
    </row>
    <row r="436" spans="1:28" x14ac:dyDescent="0.3">
      <c r="A436" s="1">
        <v>44087</v>
      </c>
      <c r="B436" t="s">
        <v>102</v>
      </c>
      <c r="C436">
        <v>1</v>
      </c>
      <c r="D436">
        <v>0</v>
      </c>
      <c r="E436">
        <v>0</v>
      </c>
      <c r="F436">
        <v>0</v>
      </c>
      <c r="G436">
        <v>0</v>
      </c>
      <c r="H436">
        <v>0</v>
      </c>
      <c r="I436">
        <v>0</v>
      </c>
      <c r="J436">
        <v>0</v>
      </c>
      <c r="K436">
        <v>0</v>
      </c>
      <c r="L436">
        <v>0</v>
      </c>
      <c r="M436">
        <v>742098</v>
      </c>
      <c r="N436" t="s">
        <v>103</v>
      </c>
      <c r="O436" t="s">
        <v>104</v>
      </c>
      <c r="P436">
        <v>0</v>
      </c>
      <c r="Q436">
        <v>0</v>
      </c>
      <c r="R436">
        <v>0</v>
      </c>
      <c r="S436">
        <v>0</v>
      </c>
      <c r="T436">
        <v>0</v>
      </c>
      <c r="U436">
        <v>0</v>
      </c>
      <c r="V436">
        <v>0</v>
      </c>
      <c r="W436">
        <v>0</v>
      </c>
      <c r="X436">
        <v>0</v>
      </c>
      <c r="Y436">
        <v>0</v>
      </c>
      <c r="Z436">
        <v>0</v>
      </c>
      <c r="AA436">
        <v>0</v>
      </c>
      <c r="AB436">
        <v>0</v>
      </c>
    </row>
    <row r="437" spans="1:28" x14ac:dyDescent="0.3">
      <c r="A437" s="1">
        <v>44087</v>
      </c>
      <c r="B437" t="s">
        <v>105</v>
      </c>
      <c r="C437">
        <v>1</v>
      </c>
      <c r="D437">
        <v>0</v>
      </c>
      <c r="E437">
        <v>0</v>
      </c>
      <c r="F437">
        <v>0</v>
      </c>
      <c r="G437">
        <v>0</v>
      </c>
      <c r="H437">
        <v>0</v>
      </c>
      <c r="I437">
        <v>0</v>
      </c>
      <c r="J437">
        <v>0</v>
      </c>
      <c r="K437">
        <v>0</v>
      </c>
      <c r="L437">
        <v>0</v>
      </c>
      <c r="M437">
        <v>930703</v>
      </c>
      <c r="N437" t="s">
        <v>106</v>
      </c>
      <c r="O437" t="s">
        <v>107</v>
      </c>
      <c r="P437">
        <v>0</v>
      </c>
      <c r="Q437">
        <v>0</v>
      </c>
      <c r="R437">
        <v>0</v>
      </c>
      <c r="S437">
        <v>0</v>
      </c>
      <c r="T437">
        <v>0</v>
      </c>
      <c r="U437">
        <v>0</v>
      </c>
      <c r="V437">
        <v>0</v>
      </c>
      <c r="W437">
        <v>0</v>
      </c>
      <c r="X437">
        <v>0</v>
      </c>
      <c r="Y437">
        <v>0</v>
      </c>
      <c r="Z437">
        <v>0</v>
      </c>
      <c r="AA437">
        <v>0</v>
      </c>
      <c r="AB437">
        <v>0</v>
      </c>
    </row>
    <row r="438" spans="1:28" x14ac:dyDescent="0.3">
      <c r="A438" s="1">
        <v>44087</v>
      </c>
      <c r="B438" t="s">
        <v>165</v>
      </c>
      <c r="C438">
        <v>1</v>
      </c>
      <c r="D438">
        <v>0</v>
      </c>
      <c r="E438">
        <v>0</v>
      </c>
      <c r="F438">
        <v>0</v>
      </c>
      <c r="G438">
        <v>0</v>
      </c>
      <c r="H438">
        <v>0</v>
      </c>
      <c r="I438">
        <v>0</v>
      </c>
      <c r="J438">
        <v>0</v>
      </c>
      <c r="K438">
        <v>0</v>
      </c>
      <c r="L438">
        <v>0</v>
      </c>
      <c r="M438">
        <v>1007528</v>
      </c>
      <c r="N438" t="s">
        <v>166</v>
      </c>
      <c r="O438" t="s">
        <v>167</v>
      </c>
      <c r="P438">
        <v>0</v>
      </c>
      <c r="Q438">
        <v>0</v>
      </c>
      <c r="R438">
        <v>0</v>
      </c>
      <c r="S438">
        <v>0</v>
      </c>
      <c r="T438">
        <v>0</v>
      </c>
      <c r="U438">
        <v>0</v>
      </c>
      <c r="V438">
        <v>0</v>
      </c>
      <c r="W438">
        <v>0</v>
      </c>
      <c r="X438">
        <v>0</v>
      </c>
      <c r="Y438">
        <v>0</v>
      </c>
      <c r="Z438">
        <v>0</v>
      </c>
      <c r="AA438">
        <v>0</v>
      </c>
      <c r="AB438">
        <v>0</v>
      </c>
    </row>
    <row r="439" spans="1:28" x14ac:dyDescent="0.3">
      <c r="A439" s="1">
        <v>44087</v>
      </c>
      <c r="B439" t="s">
        <v>129</v>
      </c>
      <c r="C439">
        <v>1</v>
      </c>
      <c r="D439">
        <v>0</v>
      </c>
      <c r="E439">
        <v>0</v>
      </c>
      <c r="F439">
        <v>0</v>
      </c>
      <c r="G439">
        <v>0</v>
      </c>
      <c r="H439">
        <v>0</v>
      </c>
      <c r="I439">
        <v>0</v>
      </c>
      <c r="J439">
        <v>0</v>
      </c>
      <c r="K439">
        <v>0</v>
      </c>
      <c r="L439">
        <v>0</v>
      </c>
      <c r="M439">
        <v>1140999</v>
      </c>
      <c r="N439" t="s">
        <v>130</v>
      </c>
      <c r="O439" t="s">
        <v>131</v>
      </c>
      <c r="P439">
        <v>0</v>
      </c>
      <c r="Q439">
        <v>0</v>
      </c>
      <c r="R439">
        <v>0</v>
      </c>
      <c r="S439">
        <v>0</v>
      </c>
      <c r="T439">
        <v>0</v>
      </c>
      <c r="U439">
        <v>0</v>
      </c>
      <c r="V439">
        <v>0</v>
      </c>
      <c r="W439">
        <v>0</v>
      </c>
      <c r="X439">
        <v>0</v>
      </c>
      <c r="Y439">
        <v>0</v>
      </c>
      <c r="Z439">
        <v>0</v>
      </c>
      <c r="AA439">
        <v>0</v>
      </c>
      <c r="AB439">
        <v>0</v>
      </c>
    </row>
    <row r="440" spans="1:28" x14ac:dyDescent="0.3">
      <c r="A440" s="1">
        <v>44087</v>
      </c>
      <c r="B440" t="s">
        <v>93</v>
      </c>
      <c r="C440">
        <v>1</v>
      </c>
      <c r="D440">
        <v>0</v>
      </c>
      <c r="E440">
        <v>0</v>
      </c>
      <c r="F440">
        <v>0</v>
      </c>
      <c r="G440">
        <v>0</v>
      </c>
      <c r="H440">
        <v>0</v>
      </c>
      <c r="I440">
        <v>0</v>
      </c>
      <c r="J440">
        <v>0</v>
      </c>
      <c r="K440">
        <v>0</v>
      </c>
      <c r="L440">
        <v>0</v>
      </c>
      <c r="M440">
        <v>1238556</v>
      </c>
      <c r="N440" t="s">
        <v>94</v>
      </c>
      <c r="O440" t="s">
        <v>95</v>
      </c>
      <c r="P440">
        <v>0</v>
      </c>
      <c r="Q440">
        <v>0</v>
      </c>
      <c r="R440">
        <v>0</v>
      </c>
      <c r="S440">
        <v>0</v>
      </c>
      <c r="T440">
        <v>0</v>
      </c>
      <c r="U440">
        <v>0</v>
      </c>
      <c r="V440">
        <v>0</v>
      </c>
      <c r="W440">
        <v>0</v>
      </c>
      <c r="X440">
        <v>0</v>
      </c>
      <c r="Y440">
        <v>0</v>
      </c>
      <c r="Z440">
        <v>0</v>
      </c>
      <c r="AA440">
        <v>0</v>
      </c>
      <c r="AB440">
        <v>0</v>
      </c>
    </row>
    <row r="441" spans="1:28" x14ac:dyDescent="0.3">
      <c r="A441" s="1">
        <v>44087</v>
      </c>
      <c r="B441" t="s">
        <v>108</v>
      </c>
      <c r="C441">
        <v>1</v>
      </c>
      <c r="D441">
        <v>0</v>
      </c>
      <c r="E441">
        <v>0</v>
      </c>
      <c r="F441">
        <v>0</v>
      </c>
      <c r="G441">
        <v>0</v>
      </c>
      <c r="H441">
        <v>0</v>
      </c>
      <c r="I441">
        <v>0</v>
      </c>
      <c r="J441">
        <v>0</v>
      </c>
      <c r="K441">
        <v>0</v>
      </c>
      <c r="L441">
        <v>0</v>
      </c>
      <c r="M441">
        <v>1273061</v>
      </c>
      <c r="N441" t="s">
        <v>109</v>
      </c>
      <c r="O441" t="s">
        <v>110</v>
      </c>
      <c r="P441">
        <v>0</v>
      </c>
      <c r="Q441">
        <v>0</v>
      </c>
      <c r="R441">
        <v>0</v>
      </c>
      <c r="S441">
        <v>0</v>
      </c>
      <c r="T441">
        <v>0</v>
      </c>
      <c r="U441">
        <v>0</v>
      </c>
      <c r="V441">
        <v>0</v>
      </c>
      <c r="W441">
        <v>0</v>
      </c>
      <c r="X441">
        <v>0</v>
      </c>
      <c r="Y441">
        <v>0</v>
      </c>
      <c r="Z441">
        <v>0</v>
      </c>
      <c r="AA441">
        <v>0</v>
      </c>
      <c r="AB441">
        <v>0</v>
      </c>
    </row>
    <row r="442" spans="1:28" x14ac:dyDescent="0.3">
      <c r="A442" s="1">
        <v>44087</v>
      </c>
      <c r="B442" t="s">
        <v>189</v>
      </c>
      <c r="C442">
        <v>1</v>
      </c>
      <c r="D442">
        <v>0</v>
      </c>
      <c r="E442">
        <v>0</v>
      </c>
      <c r="F442">
        <v>0</v>
      </c>
      <c r="G442">
        <v>0</v>
      </c>
      <c r="H442">
        <v>0</v>
      </c>
      <c r="I442">
        <v>0</v>
      </c>
      <c r="J442">
        <v>0</v>
      </c>
      <c r="K442">
        <v>0</v>
      </c>
      <c r="L442">
        <v>0</v>
      </c>
      <c r="M442">
        <v>1307407</v>
      </c>
      <c r="N442" t="s">
        <v>190</v>
      </c>
      <c r="O442" t="s">
        <v>191</v>
      </c>
      <c r="P442">
        <v>0</v>
      </c>
      <c r="Q442">
        <v>0</v>
      </c>
      <c r="R442">
        <v>0</v>
      </c>
      <c r="S442">
        <v>0</v>
      </c>
      <c r="T442">
        <v>0</v>
      </c>
      <c r="U442">
        <v>0</v>
      </c>
      <c r="V442">
        <v>0</v>
      </c>
      <c r="W442">
        <v>0</v>
      </c>
      <c r="X442">
        <v>0</v>
      </c>
      <c r="Y442">
        <v>0</v>
      </c>
      <c r="Z442">
        <v>0</v>
      </c>
      <c r="AA442">
        <v>0</v>
      </c>
      <c r="AB442">
        <v>0</v>
      </c>
    </row>
    <row r="443" spans="1:28" x14ac:dyDescent="0.3">
      <c r="A443" s="1">
        <v>44087</v>
      </c>
      <c r="B443" t="s">
        <v>135</v>
      </c>
      <c r="C443">
        <v>1</v>
      </c>
      <c r="D443">
        <v>0</v>
      </c>
      <c r="E443">
        <v>0</v>
      </c>
      <c r="F443">
        <v>0</v>
      </c>
      <c r="G443">
        <v>0</v>
      </c>
      <c r="H443">
        <v>0</v>
      </c>
      <c r="I443">
        <v>0</v>
      </c>
      <c r="J443">
        <v>0</v>
      </c>
      <c r="K443">
        <v>0</v>
      </c>
      <c r="L443">
        <v>0</v>
      </c>
      <c r="M443">
        <v>1538097</v>
      </c>
      <c r="N443" t="s">
        <v>136</v>
      </c>
      <c r="O443" t="s">
        <v>137</v>
      </c>
      <c r="P443">
        <v>0</v>
      </c>
      <c r="Q443">
        <v>0</v>
      </c>
      <c r="R443">
        <v>0</v>
      </c>
      <c r="S443">
        <v>0</v>
      </c>
      <c r="T443">
        <v>0</v>
      </c>
      <c r="U443">
        <v>0</v>
      </c>
      <c r="V443">
        <v>0</v>
      </c>
      <c r="W443">
        <v>0</v>
      </c>
      <c r="X443">
        <v>0</v>
      </c>
      <c r="Y443">
        <v>0</v>
      </c>
      <c r="Z443">
        <v>0</v>
      </c>
      <c r="AA443">
        <v>0</v>
      </c>
      <c r="AB443">
        <v>0</v>
      </c>
    </row>
    <row r="444" spans="1:28" x14ac:dyDescent="0.3">
      <c r="A444" s="1">
        <v>44087</v>
      </c>
      <c r="B444" t="s">
        <v>144</v>
      </c>
      <c r="C444">
        <v>1</v>
      </c>
      <c r="D444">
        <v>0</v>
      </c>
      <c r="E444">
        <v>0</v>
      </c>
      <c r="F444">
        <v>0</v>
      </c>
      <c r="G444">
        <v>0</v>
      </c>
      <c r="H444">
        <v>0</v>
      </c>
      <c r="I444">
        <v>0</v>
      </c>
      <c r="J444">
        <v>0</v>
      </c>
      <c r="K444">
        <v>0</v>
      </c>
      <c r="L444">
        <v>0</v>
      </c>
      <c r="M444">
        <v>2015681</v>
      </c>
      <c r="N444" t="s">
        <v>145</v>
      </c>
      <c r="O444" t="s">
        <v>146</v>
      </c>
      <c r="P444">
        <v>0</v>
      </c>
      <c r="Q444">
        <v>0</v>
      </c>
      <c r="R444">
        <v>0</v>
      </c>
      <c r="S444">
        <v>0</v>
      </c>
      <c r="T444">
        <v>0</v>
      </c>
      <c r="U444">
        <v>0</v>
      </c>
      <c r="V444">
        <v>0</v>
      </c>
      <c r="W444">
        <v>0</v>
      </c>
      <c r="X444">
        <v>0</v>
      </c>
      <c r="Y444">
        <v>0</v>
      </c>
      <c r="Z444">
        <v>0</v>
      </c>
      <c r="AA444">
        <v>0</v>
      </c>
      <c r="AB444">
        <v>0</v>
      </c>
    </row>
    <row r="445" spans="1:28" x14ac:dyDescent="0.3">
      <c r="A445" s="1">
        <v>44087</v>
      </c>
      <c r="B445" t="s">
        <v>147</v>
      </c>
      <c r="C445">
        <v>1</v>
      </c>
      <c r="D445">
        <v>0</v>
      </c>
      <c r="E445">
        <v>0</v>
      </c>
      <c r="F445">
        <v>0</v>
      </c>
      <c r="G445">
        <v>0</v>
      </c>
      <c r="H445">
        <v>0</v>
      </c>
      <c r="I445">
        <v>0</v>
      </c>
      <c r="J445">
        <v>0</v>
      </c>
      <c r="K445">
        <v>0</v>
      </c>
      <c r="L445">
        <v>0</v>
      </c>
      <c r="M445">
        <v>2075116</v>
      </c>
      <c r="N445" t="s">
        <v>148</v>
      </c>
      <c r="O445" t="s">
        <v>149</v>
      </c>
      <c r="P445">
        <v>0</v>
      </c>
      <c r="Q445">
        <v>0</v>
      </c>
      <c r="R445">
        <v>0</v>
      </c>
      <c r="S445">
        <v>0</v>
      </c>
      <c r="T445">
        <v>0</v>
      </c>
      <c r="U445">
        <v>0</v>
      </c>
      <c r="V445">
        <v>0</v>
      </c>
      <c r="W445">
        <v>0</v>
      </c>
      <c r="X445">
        <v>0</v>
      </c>
      <c r="Y445">
        <v>0</v>
      </c>
      <c r="Z445">
        <v>0</v>
      </c>
      <c r="AA445">
        <v>0</v>
      </c>
      <c r="AB445">
        <v>0</v>
      </c>
    </row>
    <row r="446" spans="1:28" x14ac:dyDescent="0.3">
      <c r="A446" s="1">
        <v>44081</v>
      </c>
      <c r="B446" t="s">
        <v>28</v>
      </c>
      <c r="C446">
        <v>163</v>
      </c>
      <c r="D446">
        <v>540.29999999999995</v>
      </c>
      <c r="E446">
        <v>0</v>
      </c>
      <c r="F446">
        <v>540.29999999999995</v>
      </c>
      <c r="G446">
        <v>3</v>
      </c>
      <c r="H446">
        <v>0</v>
      </c>
      <c r="I446">
        <v>81.05</v>
      </c>
      <c r="J446">
        <v>1.84</v>
      </c>
      <c r="K446">
        <v>49.72</v>
      </c>
      <c r="L446">
        <v>180.1</v>
      </c>
      <c r="M446">
        <v>314743</v>
      </c>
      <c r="N446" t="s">
        <v>29</v>
      </c>
      <c r="O446" t="s">
        <v>30</v>
      </c>
      <c r="P446">
        <v>3</v>
      </c>
      <c r="Q446">
        <v>0</v>
      </c>
      <c r="R446">
        <v>0</v>
      </c>
      <c r="S446">
        <v>0</v>
      </c>
      <c r="T446">
        <v>0</v>
      </c>
      <c r="U446">
        <v>0</v>
      </c>
      <c r="V446">
        <v>81.05</v>
      </c>
      <c r="W446">
        <v>0</v>
      </c>
      <c r="X446">
        <v>0</v>
      </c>
      <c r="Y446">
        <v>0</v>
      </c>
      <c r="Z446">
        <v>0</v>
      </c>
      <c r="AA446">
        <v>0</v>
      </c>
      <c r="AB446">
        <v>16.21</v>
      </c>
    </row>
    <row r="447" spans="1:28" x14ac:dyDescent="0.3">
      <c r="A447" s="1">
        <v>44081</v>
      </c>
      <c r="B447" t="s">
        <v>123</v>
      </c>
      <c r="C447">
        <v>3</v>
      </c>
      <c r="D447">
        <v>424</v>
      </c>
      <c r="E447">
        <v>0</v>
      </c>
      <c r="F447">
        <v>424</v>
      </c>
      <c r="G447">
        <v>2</v>
      </c>
      <c r="H447">
        <v>0</v>
      </c>
      <c r="I447">
        <v>12.72</v>
      </c>
      <c r="J447">
        <v>66.67</v>
      </c>
      <c r="K447">
        <v>424</v>
      </c>
      <c r="L447">
        <v>212</v>
      </c>
      <c r="M447">
        <v>213636</v>
      </c>
      <c r="N447" t="s">
        <v>124</v>
      </c>
      <c r="O447" t="s">
        <v>125</v>
      </c>
      <c r="P447">
        <v>2</v>
      </c>
      <c r="Q447">
        <v>0</v>
      </c>
      <c r="R447">
        <v>0</v>
      </c>
      <c r="S447">
        <v>0</v>
      </c>
      <c r="T447">
        <v>0</v>
      </c>
      <c r="U447">
        <v>0</v>
      </c>
      <c r="V447">
        <v>12.72</v>
      </c>
      <c r="W447">
        <v>0</v>
      </c>
      <c r="X447">
        <v>0</v>
      </c>
      <c r="Y447">
        <v>0</v>
      </c>
      <c r="Z447">
        <v>0</v>
      </c>
      <c r="AA447">
        <v>0</v>
      </c>
      <c r="AB447">
        <v>2.54</v>
      </c>
    </row>
    <row r="448" spans="1:28" x14ac:dyDescent="0.3">
      <c r="A448" s="1">
        <v>44081</v>
      </c>
      <c r="B448" t="s">
        <v>46</v>
      </c>
      <c r="C448">
        <v>7</v>
      </c>
      <c r="D448">
        <v>181.3</v>
      </c>
      <c r="E448">
        <v>0</v>
      </c>
      <c r="F448">
        <v>181.3</v>
      </c>
      <c r="G448">
        <v>1</v>
      </c>
      <c r="H448">
        <v>0</v>
      </c>
      <c r="I448">
        <v>5.44</v>
      </c>
      <c r="J448">
        <v>14.29</v>
      </c>
      <c r="K448">
        <v>77.709999999999994</v>
      </c>
      <c r="L448">
        <v>181.3</v>
      </c>
      <c r="M448">
        <v>445875</v>
      </c>
      <c r="N448" t="s">
        <v>47</v>
      </c>
      <c r="O448" t="s">
        <v>48</v>
      </c>
      <c r="P448">
        <v>1</v>
      </c>
      <c r="Q448">
        <v>0</v>
      </c>
      <c r="R448">
        <v>0</v>
      </c>
      <c r="S448">
        <v>0</v>
      </c>
      <c r="T448">
        <v>0</v>
      </c>
      <c r="U448">
        <v>0</v>
      </c>
      <c r="V448">
        <v>5.44</v>
      </c>
      <c r="W448">
        <v>0</v>
      </c>
      <c r="X448">
        <v>0</v>
      </c>
      <c r="Y448">
        <v>0</v>
      </c>
      <c r="Z448">
        <v>0</v>
      </c>
      <c r="AA448">
        <v>0</v>
      </c>
      <c r="AB448">
        <v>1.0900000000000001</v>
      </c>
    </row>
    <row r="449" spans="1:28" x14ac:dyDescent="0.3">
      <c r="A449" s="1">
        <v>44081</v>
      </c>
      <c r="B449" t="s">
        <v>63</v>
      </c>
      <c r="C449">
        <v>9</v>
      </c>
      <c r="D449">
        <v>169</v>
      </c>
      <c r="E449">
        <v>0</v>
      </c>
      <c r="F449">
        <v>169</v>
      </c>
      <c r="G449">
        <v>1</v>
      </c>
      <c r="H449">
        <v>0</v>
      </c>
      <c r="I449">
        <v>5.07</v>
      </c>
      <c r="J449">
        <v>11.11</v>
      </c>
      <c r="K449">
        <v>56.33</v>
      </c>
      <c r="L449">
        <v>169</v>
      </c>
      <c r="M449">
        <v>140995</v>
      </c>
      <c r="N449" t="s">
        <v>64</v>
      </c>
      <c r="O449" t="s">
        <v>65</v>
      </c>
      <c r="P449">
        <v>1</v>
      </c>
      <c r="Q449">
        <v>0</v>
      </c>
      <c r="R449">
        <v>0</v>
      </c>
      <c r="S449">
        <v>0</v>
      </c>
      <c r="T449">
        <v>0</v>
      </c>
      <c r="U449">
        <v>0</v>
      </c>
      <c r="V449">
        <v>5.07</v>
      </c>
      <c r="W449">
        <v>0</v>
      </c>
      <c r="X449">
        <v>0</v>
      </c>
      <c r="Y449">
        <v>0</v>
      </c>
      <c r="Z449">
        <v>0</v>
      </c>
      <c r="AA449">
        <v>0</v>
      </c>
      <c r="AB449">
        <v>1.01</v>
      </c>
    </row>
    <row r="450" spans="1:28" x14ac:dyDescent="0.3">
      <c r="A450" s="1">
        <v>44081</v>
      </c>
      <c r="B450" t="s">
        <v>49</v>
      </c>
      <c r="C450">
        <v>50</v>
      </c>
      <c r="D450">
        <v>164</v>
      </c>
      <c r="E450">
        <v>0</v>
      </c>
      <c r="F450">
        <v>164</v>
      </c>
      <c r="G450">
        <v>1</v>
      </c>
      <c r="H450">
        <v>0</v>
      </c>
      <c r="I450">
        <v>4.92</v>
      </c>
      <c r="J450">
        <v>2</v>
      </c>
      <c r="K450">
        <v>9.84</v>
      </c>
      <c r="L450">
        <v>164</v>
      </c>
      <c r="M450">
        <v>725033</v>
      </c>
      <c r="N450" t="s">
        <v>50</v>
      </c>
      <c r="O450" t="s">
        <v>51</v>
      </c>
      <c r="P450">
        <v>1</v>
      </c>
      <c r="Q450">
        <v>0</v>
      </c>
      <c r="R450">
        <v>0</v>
      </c>
      <c r="S450">
        <v>0</v>
      </c>
      <c r="T450">
        <v>0</v>
      </c>
      <c r="U450">
        <v>0</v>
      </c>
      <c r="V450">
        <v>4.92</v>
      </c>
      <c r="W450">
        <v>0</v>
      </c>
      <c r="X450">
        <v>0</v>
      </c>
      <c r="Y450">
        <v>0</v>
      </c>
      <c r="Z450">
        <v>0</v>
      </c>
      <c r="AA450">
        <v>0</v>
      </c>
      <c r="AB450">
        <v>0.98</v>
      </c>
    </row>
    <row r="451" spans="1:28" x14ac:dyDescent="0.3">
      <c r="A451" s="1">
        <v>44081</v>
      </c>
      <c r="B451" t="s">
        <v>37</v>
      </c>
      <c r="C451">
        <v>25</v>
      </c>
      <c r="D451">
        <v>164</v>
      </c>
      <c r="E451">
        <v>0</v>
      </c>
      <c r="F451">
        <v>164</v>
      </c>
      <c r="G451">
        <v>1</v>
      </c>
      <c r="H451">
        <v>0</v>
      </c>
      <c r="I451">
        <v>4.92</v>
      </c>
      <c r="J451">
        <v>4</v>
      </c>
      <c r="K451">
        <v>19.68</v>
      </c>
      <c r="L451">
        <v>164</v>
      </c>
      <c r="M451">
        <v>201285</v>
      </c>
      <c r="N451" t="s">
        <v>38</v>
      </c>
      <c r="O451" t="s">
        <v>39</v>
      </c>
      <c r="P451">
        <v>1</v>
      </c>
      <c r="Q451">
        <v>0</v>
      </c>
      <c r="R451">
        <v>0</v>
      </c>
      <c r="S451">
        <v>0</v>
      </c>
      <c r="T451">
        <v>0</v>
      </c>
      <c r="U451">
        <v>0</v>
      </c>
      <c r="V451">
        <v>4.92</v>
      </c>
      <c r="W451">
        <v>0</v>
      </c>
      <c r="X451">
        <v>0</v>
      </c>
      <c r="Y451">
        <v>0</v>
      </c>
      <c r="Z451">
        <v>0</v>
      </c>
      <c r="AA451">
        <v>0</v>
      </c>
      <c r="AB451">
        <v>0.98</v>
      </c>
    </row>
    <row r="452" spans="1:28" x14ac:dyDescent="0.3">
      <c r="A452" s="1">
        <v>44081</v>
      </c>
      <c r="B452" t="s">
        <v>40</v>
      </c>
      <c r="C452">
        <v>44</v>
      </c>
      <c r="D452">
        <v>139.30000000000001</v>
      </c>
      <c r="E452">
        <v>0</v>
      </c>
      <c r="F452">
        <v>139.30000000000001</v>
      </c>
      <c r="G452">
        <v>1</v>
      </c>
      <c r="H452">
        <v>0</v>
      </c>
      <c r="I452">
        <v>27.86</v>
      </c>
      <c r="J452">
        <v>2.27</v>
      </c>
      <c r="K452">
        <v>63.32</v>
      </c>
      <c r="L452">
        <v>139.30000000000001</v>
      </c>
      <c r="M452">
        <v>1088116</v>
      </c>
      <c r="N452" t="s">
        <v>41</v>
      </c>
      <c r="O452" t="s">
        <v>42</v>
      </c>
      <c r="P452">
        <v>1</v>
      </c>
      <c r="Q452">
        <v>0</v>
      </c>
      <c r="R452">
        <v>0</v>
      </c>
      <c r="S452">
        <v>0</v>
      </c>
      <c r="T452">
        <v>0</v>
      </c>
      <c r="U452">
        <v>0</v>
      </c>
      <c r="V452">
        <v>27.86</v>
      </c>
      <c r="W452">
        <v>0</v>
      </c>
      <c r="X452">
        <v>0</v>
      </c>
      <c r="Y452">
        <v>0</v>
      </c>
      <c r="Z452">
        <v>0</v>
      </c>
      <c r="AA452">
        <v>0</v>
      </c>
      <c r="AB452">
        <v>5.57</v>
      </c>
    </row>
    <row r="453" spans="1:28" x14ac:dyDescent="0.3">
      <c r="A453" s="1">
        <v>44081</v>
      </c>
      <c r="B453" t="s">
        <v>90</v>
      </c>
      <c r="C453">
        <v>3</v>
      </c>
      <c r="D453">
        <v>132.30000000000001</v>
      </c>
      <c r="E453">
        <v>0</v>
      </c>
      <c r="F453">
        <v>132.30000000000001</v>
      </c>
      <c r="G453">
        <v>1</v>
      </c>
      <c r="H453">
        <v>0</v>
      </c>
      <c r="I453">
        <v>3.97</v>
      </c>
      <c r="J453">
        <v>33.33</v>
      </c>
      <c r="K453">
        <v>132.33000000000001</v>
      </c>
      <c r="L453">
        <v>132.30000000000001</v>
      </c>
      <c r="M453">
        <v>136482</v>
      </c>
      <c r="N453" t="s">
        <v>91</v>
      </c>
      <c r="O453" t="s">
        <v>92</v>
      </c>
      <c r="P453">
        <v>1</v>
      </c>
      <c r="Q453">
        <v>0</v>
      </c>
      <c r="R453">
        <v>0</v>
      </c>
      <c r="S453">
        <v>0</v>
      </c>
      <c r="T453">
        <v>0</v>
      </c>
      <c r="U453">
        <v>0</v>
      </c>
      <c r="V453">
        <v>3.97</v>
      </c>
      <c r="W453">
        <v>0</v>
      </c>
      <c r="X453">
        <v>0</v>
      </c>
      <c r="Y453">
        <v>0</v>
      </c>
      <c r="Z453">
        <v>0</v>
      </c>
      <c r="AA453">
        <v>0</v>
      </c>
      <c r="AB453">
        <v>0.79</v>
      </c>
    </row>
    <row r="454" spans="1:28" x14ac:dyDescent="0.3">
      <c r="A454" s="1">
        <v>44081</v>
      </c>
      <c r="B454" t="s">
        <v>52</v>
      </c>
      <c r="C454">
        <v>40</v>
      </c>
      <c r="D454">
        <v>0</v>
      </c>
      <c r="E454">
        <v>0</v>
      </c>
      <c r="F454">
        <v>0</v>
      </c>
      <c r="G454">
        <v>0</v>
      </c>
      <c r="H454">
        <v>0</v>
      </c>
      <c r="I454">
        <v>0</v>
      </c>
      <c r="J454">
        <v>0</v>
      </c>
      <c r="K454">
        <v>0</v>
      </c>
      <c r="L454">
        <v>0</v>
      </c>
      <c r="M454">
        <v>1584217</v>
      </c>
      <c r="N454" t="s">
        <v>53</v>
      </c>
      <c r="O454" t="s">
        <v>54</v>
      </c>
      <c r="P454">
        <v>0</v>
      </c>
      <c r="Q454">
        <v>0</v>
      </c>
      <c r="R454">
        <v>0</v>
      </c>
      <c r="S454">
        <v>0</v>
      </c>
      <c r="T454">
        <v>0</v>
      </c>
      <c r="U454">
        <v>0</v>
      </c>
      <c r="V454">
        <v>0</v>
      </c>
      <c r="W454">
        <v>0</v>
      </c>
      <c r="X454">
        <v>0</v>
      </c>
      <c r="Y454">
        <v>0</v>
      </c>
      <c r="Z454">
        <v>0</v>
      </c>
      <c r="AA454">
        <v>0</v>
      </c>
      <c r="AB454">
        <v>0</v>
      </c>
    </row>
    <row r="455" spans="1:28" x14ac:dyDescent="0.3">
      <c r="A455" s="1">
        <v>44081</v>
      </c>
      <c r="B455" t="s">
        <v>55</v>
      </c>
      <c r="C455">
        <v>35</v>
      </c>
      <c r="D455">
        <v>0</v>
      </c>
      <c r="E455">
        <v>0</v>
      </c>
      <c r="F455">
        <v>0</v>
      </c>
      <c r="G455">
        <v>0</v>
      </c>
      <c r="H455">
        <v>0</v>
      </c>
      <c r="I455">
        <v>0</v>
      </c>
      <c r="J455">
        <v>0</v>
      </c>
      <c r="K455">
        <v>0</v>
      </c>
      <c r="L455">
        <v>0</v>
      </c>
      <c r="M455">
        <v>1773960</v>
      </c>
      <c r="N455" t="s">
        <v>35</v>
      </c>
      <c r="O455" t="s">
        <v>56</v>
      </c>
      <c r="P455">
        <v>0</v>
      </c>
      <c r="Q455">
        <v>0</v>
      </c>
      <c r="R455">
        <v>0</v>
      </c>
      <c r="S455">
        <v>0</v>
      </c>
      <c r="T455">
        <v>0</v>
      </c>
      <c r="U455">
        <v>0</v>
      </c>
      <c r="V455">
        <v>0</v>
      </c>
      <c r="W455">
        <v>0</v>
      </c>
      <c r="X455">
        <v>0</v>
      </c>
      <c r="Y455">
        <v>0</v>
      </c>
      <c r="Z455">
        <v>0</v>
      </c>
      <c r="AA455">
        <v>0</v>
      </c>
      <c r="AB455">
        <v>0</v>
      </c>
    </row>
    <row r="456" spans="1:28" x14ac:dyDescent="0.3">
      <c r="A456" s="1">
        <v>44081</v>
      </c>
      <c r="B456" t="s">
        <v>93</v>
      </c>
      <c r="C456">
        <v>10</v>
      </c>
      <c r="D456">
        <v>0</v>
      </c>
      <c r="E456">
        <v>0</v>
      </c>
      <c r="F456">
        <v>0</v>
      </c>
      <c r="G456">
        <v>0</v>
      </c>
      <c r="H456">
        <v>0</v>
      </c>
      <c r="I456">
        <v>0</v>
      </c>
      <c r="J456">
        <v>0</v>
      </c>
      <c r="K456">
        <v>0</v>
      </c>
      <c r="L456">
        <v>0</v>
      </c>
      <c r="M456">
        <v>1238556</v>
      </c>
      <c r="N456" t="s">
        <v>94</v>
      </c>
      <c r="O456" t="s">
        <v>95</v>
      </c>
      <c r="P456">
        <v>0</v>
      </c>
      <c r="Q456">
        <v>0</v>
      </c>
      <c r="R456">
        <v>0</v>
      </c>
      <c r="S456">
        <v>0</v>
      </c>
      <c r="T456">
        <v>0</v>
      </c>
      <c r="U456">
        <v>0</v>
      </c>
      <c r="V456">
        <v>0</v>
      </c>
      <c r="W456">
        <v>0</v>
      </c>
      <c r="X456">
        <v>0</v>
      </c>
      <c r="Y456">
        <v>0</v>
      </c>
      <c r="Z456">
        <v>0</v>
      </c>
      <c r="AA456">
        <v>0</v>
      </c>
      <c r="AB456">
        <v>0</v>
      </c>
    </row>
    <row r="457" spans="1:28" x14ac:dyDescent="0.3">
      <c r="A457" s="1">
        <v>44081</v>
      </c>
      <c r="B457" t="s">
        <v>57</v>
      </c>
      <c r="C457">
        <v>10</v>
      </c>
      <c r="D457">
        <v>0</v>
      </c>
      <c r="E457">
        <v>0</v>
      </c>
      <c r="F457">
        <v>0</v>
      </c>
      <c r="G457">
        <v>0</v>
      </c>
      <c r="H457">
        <v>0</v>
      </c>
      <c r="I457">
        <v>0</v>
      </c>
      <c r="J457">
        <v>0</v>
      </c>
      <c r="K457">
        <v>0</v>
      </c>
      <c r="L457">
        <v>0</v>
      </c>
      <c r="M457">
        <v>2053730</v>
      </c>
      <c r="N457" t="s">
        <v>58</v>
      </c>
      <c r="O457" t="s">
        <v>59</v>
      </c>
      <c r="P457">
        <v>0</v>
      </c>
      <c r="Q457">
        <v>0</v>
      </c>
      <c r="R457">
        <v>0</v>
      </c>
      <c r="S457">
        <v>0</v>
      </c>
      <c r="T457">
        <v>0</v>
      </c>
      <c r="U457">
        <v>0</v>
      </c>
      <c r="V457">
        <v>0</v>
      </c>
      <c r="W457">
        <v>0</v>
      </c>
      <c r="X457">
        <v>0</v>
      </c>
      <c r="Y457">
        <v>0</v>
      </c>
      <c r="Z457">
        <v>0</v>
      </c>
      <c r="AA457">
        <v>0</v>
      </c>
      <c r="AB457">
        <v>0</v>
      </c>
    </row>
    <row r="458" spans="1:28" x14ac:dyDescent="0.3">
      <c r="A458" s="1">
        <v>44081</v>
      </c>
      <c r="B458" t="s">
        <v>43</v>
      </c>
      <c r="C458">
        <v>9</v>
      </c>
      <c r="D458">
        <v>0</v>
      </c>
      <c r="E458">
        <v>0</v>
      </c>
      <c r="F458">
        <v>0</v>
      </c>
      <c r="G458">
        <v>0</v>
      </c>
      <c r="H458">
        <v>0</v>
      </c>
      <c r="I458">
        <v>0</v>
      </c>
      <c r="J458">
        <v>0</v>
      </c>
      <c r="K458">
        <v>0</v>
      </c>
      <c r="L458">
        <v>0</v>
      </c>
      <c r="M458">
        <v>389818</v>
      </c>
      <c r="N458" t="s">
        <v>44</v>
      </c>
      <c r="O458" t="s">
        <v>45</v>
      </c>
      <c r="P458">
        <v>0</v>
      </c>
      <c r="Q458">
        <v>0</v>
      </c>
      <c r="R458">
        <v>0</v>
      </c>
      <c r="S458">
        <v>0</v>
      </c>
      <c r="T458">
        <v>0</v>
      </c>
      <c r="U458">
        <v>0</v>
      </c>
      <c r="V458">
        <v>0</v>
      </c>
      <c r="W458">
        <v>0</v>
      </c>
      <c r="X458">
        <v>0</v>
      </c>
      <c r="Y458">
        <v>0</v>
      </c>
      <c r="Z458">
        <v>0</v>
      </c>
      <c r="AA458">
        <v>0</v>
      </c>
      <c r="AB458">
        <v>0</v>
      </c>
    </row>
    <row r="459" spans="1:28" x14ac:dyDescent="0.3">
      <c r="A459" s="1">
        <v>44081</v>
      </c>
      <c r="B459" t="s">
        <v>69</v>
      </c>
      <c r="C459">
        <v>9</v>
      </c>
      <c r="D459">
        <v>0</v>
      </c>
      <c r="E459">
        <v>0</v>
      </c>
      <c r="F459">
        <v>0</v>
      </c>
      <c r="G459">
        <v>0</v>
      </c>
      <c r="H459">
        <v>0</v>
      </c>
      <c r="I459">
        <v>0</v>
      </c>
      <c r="J459">
        <v>0</v>
      </c>
      <c r="K459">
        <v>0</v>
      </c>
      <c r="L459">
        <v>0</v>
      </c>
      <c r="M459">
        <v>1772040</v>
      </c>
      <c r="N459" t="s">
        <v>70</v>
      </c>
      <c r="O459" t="s">
        <v>71</v>
      </c>
      <c r="P459">
        <v>0</v>
      </c>
      <c r="Q459">
        <v>0</v>
      </c>
      <c r="R459">
        <v>0</v>
      </c>
      <c r="S459">
        <v>0</v>
      </c>
      <c r="T459">
        <v>0</v>
      </c>
      <c r="U459">
        <v>0</v>
      </c>
      <c r="V459">
        <v>0</v>
      </c>
      <c r="W459">
        <v>0</v>
      </c>
      <c r="X459">
        <v>0</v>
      </c>
      <c r="Y459">
        <v>0</v>
      </c>
      <c r="Z459">
        <v>0</v>
      </c>
      <c r="AA459">
        <v>0</v>
      </c>
      <c r="AB459">
        <v>0</v>
      </c>
    </row>
    <row r="460" spans="1:28" x14ac:dyDescent="0.3">
      <c r="A460" s="1">
        <v>44081</v>
      </c>
      <c r="B460" t="s">
        <v>60</v>
      </c>
      <c r="C460">
        <v>8</v>
      </c>
      <c r="D460">
        <v>0</v>
      </c>
      <c r="E460">
        <v>0</v>
      </c>
      <c r="F460">
        <v>0</v>
      </c>
      <c r="G460">
        <v>0</v>
      </c>
      <c r="H460">
        <v>0</v>
      </c>
      <c r="I460">
        <v>0</v>
      </c>
      <c r="J460">
        <v>0</v>
      </c>
      <c r="K460">
        <v>0</v>
      </c>
      <c r="L460">
        <v>0</v>
      </c>
      <c r="M460">
        <v>748814</v>
      </c>
      <c r="N460" t="s">
        <v>61</v>
      </c>
      <c r="O460" t="s">
        <v>62</v>
      </c>
      <c r="P460">
        <v>0</v>
      </c>
      <c r="Q460">
        <v>0</v>
      </c>
      <c r="R460">
        <v>0</v>
      </c>
      <c r="S460">
        <v>0</v>
      </c>
      <c r="T460">
        <v>0</v>
      </c>
      <c r="U460">
        <v>0</v>
      </c>
      <c r="V460">
        <v>0</v>
      </c>
      <c r="W460">
        <v>0</v>
      </c>
      <c r="X460">
        <v>0</v>
      </c>
      <c r="Y460">
        <v>0</v>
      </c>
      <c r="Z460">
        <v>0</v>
      </c>
      <c r="AA460">
        <v>0</v>
      </c>
      <c r="AB460">
        <v>0</v>
      </c>
    </row>
    <row r="461" spans="1:28" x14ac:dyDescent="0.3">
      <c r="A461" s="1">
        <v>44081</v>
      </c>
      <c r="B461" t="s">
        <v>34</v>
      </c>
      <c r="C461">
        <v>7</v>
      </c>
      <c r="D461">
        <v>0</v>
      </c>
      <c r="E461">
        <v>0</v>
      </c>
      <c r="F461">
        <v>0</v>
      </c>
      <c r="G461">
        <v>0</v>
      </c>
      <c r="H461">
        <v>0</v>
      </c>
      <c r="I461">
        <v>0</v>
      </c>
      <c r="J461">
        <v>0</v>
      </c>
      <c r="K461">
        <v>0</v>
      </c>
      <c r="L461">
        <v>0</v>
      </c>
      <c r="M461">
        <v>2284878</v>
      </c>
      <c r="N461" t="s">
        <v>35</v>
      </c>
      <c r="O461" t="s">
        <v>36</v>
      </c>
      <c r="P461">
        <v>0</v>
      </c>
      <c r="Q461">
        <v>0</v>
      </c>
      <c r="R461">
        <v>0</v>
      </c>
      <c r="S461">
        <v>0</v>
      </c>
      <c r="T461">
        <v>0</v>
      </c>
      <c r="U461">
        <v>0</v>
      </c>
      <c r="V461">
        <v>0</v>
      </c>
      <c r="W461">
        <v>0</v>
      </c>
      <c r="X461">
        <v>0</v>
      </c>
      <c r="Y461">
        <v>0</v>
      </c>
      <c r="Z461">
        <v>0</v>
      </c>
      <c r="AA461">
        <v>0</v>
      </c>
      <c r="AB461">
        <v>0</v>
      </c>
    </row>
    <row r="462" spans="1:28" x14ac:dyDescent="0.3">
      <c r="A462" s="1">
        <v>44081</v>
      </c>
      <c r="B462" t="s">
        <v>78</v>
      </c>
      <c r="C462">
        <v>5</v>
      </c>
      <c r="D462">
        <v>0</v>
      </c>
      <c r="E462">
        <v>0</v>
      </c>
      <c r="F462">
        <v>0</v>
      </c>
      <c r="G462">
        <v>0</v>
      </c>
      <c r="H462">
        <v>0</v>
      </c>
      <c r="I462">
        <v>0</v>
      </c>
      <c r="J462">
        <v>0</v>
      </c>
      <c r="K462">
        <v>0</v>
      </c>
      <c r="L462">
        <v>0</v>
      </c>
      <c r="M462">
        <v>1014069</v>
      </c>
      <c r="N462" t="s">
        <v>79</v>
      </c>
      <c r="O462" t="s">
        <v>80</v>
      </c>
      <c r="P462">
        <v>0</v>
      </c>
      <c r="Q462">
        <v>0</v>
      </c>
      <c r="R462">
        <v>0</v>
      </c>
      <c r="S462">
        <v>0</v>
      </c>
      <c r="T462">
        <v>0</v>
      </c>
      <c r="U462">
        <v>0</v>
      </c>
      <c r="V462">
        <v>0</v>
      </c>
      <c r="W462">
        <v>0</v>
      </c>
      <c r="X462">
        <v>0</v>
      </c>
      <c r="Y462">
        <v>0</v>
      </c>
      <c r="Z462">
        <v>0</v>
      </c>
      <c r="AA462">
        <v>0</v>
      </c>
      <c r="AB462">
        <v>0</v>
      </c>
    </row>
    <row r="463" spans="1:28" x14ac:dyDescent="0.3">
      <c r="A463" s="1">
        <v>44081</v>
      </c>
      <c r="B463" t="s">
        <v>96</v>
      </c>
      <c r="C463">
        <v>5</v>
      </c>
      <c r="D463">
        <v>0</v>
      </c>
      <c r="E463">
        <v>0</v>
      </c>
      <c r="F463">
        <v>0</v>
      </c>
      <c r="G463">
        <v>0</v>
      </c>
      <c r="H463">
        <v>0</v>
      </c>
      <c r="I463">
        <v>0</v>
      </c>
      <c r="J463">
        <v>0</v>
      </c>
      <c r="K463">
        <v>0</v>
      </c>
      <c r="L463">
        <v>0</v>
      </c>
      <c r="M463">
        <v>1372745</v>
      </c>
      <c r="N463" t="s">
        <v>97</v>
      </c>
      <c r="O463" t="s">
        <v>98</v>
      </c>
      <c r="P463">
        <v>0</v>
      </c>
      <c r="Q463">
        <v>0</v>
      </c>
      <c r="R463">
        <v>0</v>
      </c>
      <c r="S463">
        <v>0</v>
      </c>
      <c r="T463">
        <v>0</v>
      </c>
      <c r="U463">
        <v>0</v>
      </c>
      <c r="V463">
        <v>0</v>
      </c>
      <c r="W463">
        <v>0</v>
      </c>
      <c r="X463">
        <v>0</v>
      </c>
      <c r="Y463">
        <v>0</v>
      </c>
      <c r="Z463">
        <v>0</v>
      </c>
      <c r="AA463">
        <v>0</v>
      </c>
      <c r="AB463">
        <v>0</v>
      </c>
    </row>
    <row r="464" spans="1:28" x14ac:dyDescent="0.3">
      <c r="A464" s="1">
        <v>44081</v>
      </c>
      <c r="B464" t="s">
        <v>66</v>
      </c>
      <c r="C464">
        <v>5</v>
      </c>
      <c r="D464">
        <v>0</v>
      </c>
      <c r="E464">
        <v>0</v>
      </c>
      <c r="F464">
        <v>0</v>
      </c>
      <c r="G464">
        <v>0</v>
      </c>
      <c r="H464">
        <v>0</v>
      </c>
      <c r="I464">
        <v>0</v>
      </c>
      <c r="J464">
        <v>0</v>
      </c>
      <c r="K464">
        <v>0</v>
      </c>
      <c r="L464">
        <v>0</v>
      </c>
      <c r="M464">
        <v>1413766</v>
      </c>
      <c r="N464" t="s">
        <v>67</v>
      </c>
      <c r="O464" t="s">
        <v>68</v>
      </c>
      <c r="P464">
        <v>0</v>
      </c>
      <c r="Q464">
        <v>0</v>
      </c>
      <c r="R464">
        <v>0</v>
      </c>
      <c r="S464">
        <v>0</v>
      </c>
      <c r="T464">
        <v>0</v>
      </c>
      <c r="U464">
        <v>0</v>
      </c>
      <c r="V464">
        <v>0</v>
      </c>
      <c r="W464">
        <v>0</v>
      </c>
      <c r="X464">
        <v>0</v>
      </c>
      <c r="Y464">
        <v>0</v>
      </c>
      <c r="Z464">
        <v>0</v>
      </c>
      <c r="AA464">
        <v>0</v>
      </c>
      <c r="AB464">
        <v>0</v>
      </c>
    </row>
    <row r="465" spans="1:28" x14ac:dyDescent="0.3">
      <c r="A465" s="1">
        <v>44081</v>
      </c>
      <c r="B465" t="s">
        <v>75</v>
      </c>
      <c r="C465">
        <v>4</v>
      </c>
      <c r="D465">
        <v>0</v>
      </c>
      <c r="E465">
        <v>0</v>
      </c>
      <c r="F465">
        <v>0</v>
      </c>
      <c r="G465">
        <v>0</v>
      </c>
      <c r="H465">
        <v>0</v>
      </c>
      <c r="I465">
        <v>0</v>
      </c>
      <c r="J465">
        <v>0</v>
      </c>
      <c r="K465">
        <v>0</v>
      </c>
      <c r="L465">
        <v>0</v>
      </c>
      <c r="M465">
        <v>745788</v>
      </c>
      <c r="N465" t="s">
        <v>76</v>
      </c>
      <c r="O465" t="s">
        <v>77</v>
      </c>
      <c r="P465">
        <v>0</v>
      </c>
      <c r="Q465">
        <v>0</v>
      </c>
      <c r="R465">
        <v>0</v>
      </c>
      <c r="S465">
        <v>0</v>
      </c>
      <c r="T465">
        <v>0</v>
      </c>
      <c r="U465">
        <v>0</v>
      </c>
      <c r="V465">
        <v>0</v>
      </c>
      <c r="W465">
        <v>0</v>
      </c>
      <c r="X465">
        <v>0</v>
      </c>
      <c r="Y465">
        <v>0</v>
      </c>
      <c r="Z465">
        <v>0</v>
      </c>
      <c r="AA465">
        <v>0</v>
      </c>
      <c r="AB465">
        <v>0</v>
      </c>
    </row>
    <row r="466" spans="1:28" x14ac:dyDescent="0.3">
      <c r="A466" s="1">
        <v>44081</v>
      </c>
      <c r="B466" t="s">
        <v>31</v>
      </c>
      <c r="C466">
        <v>4</v>
      </c>
      <c r="D466">
        <v>0</v>
      </c>
      <c r="E466">
        <v>0</v>
      </c>
      <c r="F466">
        <v>0</v>
      </c>
      <c r="G466">
        <v>0</v>
      </c>
      <c r="H466">
        <v>0</v>
      </c>
      <c r="I466">
        <v>0</v>
      </c>
      <c r="J466">
        <v>0</v>
      </c>
      <c r="K466">
        <v>0</v>
      </c>
      <c r="L466">
        <v>0</v>
      </c>
      <c r="M466">
        <v>1663605</v>
      </c>
      <c r="N466" t="s">
        <v>32</v>
      </c>
      <c r="O466" t="s">
        <v>33</v>
      </c>
      <c r="P466">
        <v>0</v>
      </c>
      <c r="Q466">
        <v>0</v>
      </c>
      <c r="R466">
        <v>0</v>
      </c>
      <c r="S466">
        <v>0</v>
      </c>
      <c r="T466">
        <v>0</v>
      </c>
      <c r="U466">
        <v>0</v>
      </c>
      <c r="V466">
        <v>0</v>
      </c>
      <c r="W466">
        <v>0</v>
      </c>
      <c r="X466">
        <v>0</v>
      </c>
      <c r="Y466">
        <v>0</v>
      </c>
      <c r="Z466">
        <v>0</v>
      </c>
      <c r="AA466">
        <v>0</v>
      </c>
      <c r="AB466">
        <v>0</v>
      </c>
    </row>
    <row r="467" spans="1:28" x14ac:dyDescent="0.3">
      <c r="A467" s="1">
        <v>44081</v>
      </c>
      <c r="B467" t="s">
        <v>159</v>
      </c>
      <c r="C467">
        <v>4</v>
      </c>
      <c r="D467">
        <v>0</v>
      </c>
      <c r="E467">
        <v>0</v>
      </c>
      <c r="F467">
        <v>0</v>
      </c>
      <c r="G467">
        <v>0</v>
      </c>
      <c r="H467">
        <v>0</v>
      </c>
      <c r="I467">
        <v>0</v>
      </c>
      <c r="J467">
        <v>0</v>
      </c>
      <c r="K467">
        <v>0</v>
      </c>
      <c r="L467">
        <v>0</v>
      </c>
      <c r="M467">
        <v>2029250</v>
      </c>
      <c r="N467" t="s">
        <v>160</v>
      </c>
      <c r="O467" t="s">
        <v>161</v>
      </c>
      <c r="P467">
        <v>0</v>
      </c>
      <c r="Q467">
        <v>0</v>
      </c>
      <c r="R467">
        <v>0</v>
      </c>
      <c r="S467">
        <v>0</v>
      </c>
      <c r="T467">
        <v>0</v>
      </c>
      <c r="U467">
        <v>0</v>
      </c>
      <c r="V467">
        <v>0</v>
      </c>
      <c r="W467">
        <v>0</v>
      </c>
      <c r="X467">
        <v>0</v>
      </c>
      <c r="Y467">
        <v>0</v>
      </c>
      <c r="Z467">
        <v>0</v>
      </c>
      <c r="AA467">
        <v>0</v>
      </c>
      <c r="AB467">
        <v>0</v>
      </c>
    </row>
    <row r="468" spans="1:28" x14ac:dyDescent="0.3">
      <c r="A468" s="1">
        <v>44081</v>
      </c>
      <c r="B468" t="s">
        <v>72</v>
      </c>
      <c r="C468">
        <v>3</v>
      </c>
      <c r="D468">
        <v>0</v>
      </c>
      <c r="E468">
        <v>0</v>
      </c>
      <c r="F468">
        <v>0</v>
      </c>
      <c r="G468">
        <v>0</v>
      </c>
      <c r="H468">
        <v>0</v>
      </c>
      <c r="I468">
        <v>0</v>
      </c>
      <c r="J468">
        <v>0</v>
      </c>
      <c r="K468">
        <v>0</v>
      </c>
      <c r="L468">
        <v>0</v>
      </c>
      <c r="M468">
        <v>514792</v>
      </c>
      <c r="N468" t="s">
        <v>73</v>
      </c>
      <c r="O468" t="s">
        <v>74</v>
      </c>
      <c r="P468">
        <v>0</v>
      </c>
      <c r="Q468">
        <v>0</v>
      </c>
      <c r="R468">
        <v>0</v>
      </c>
      <c r="S468">
        <v>0</v>
      </c>
      <c r="T468">
        <v>0</v>
      </c>
      <c r="U468">
        <v>0</v>
      </c>
      <c r="V468">
        <v>0</v>
      </c>
      <c r="W468">
        <v>0</v>
      </c>
      <c r="X468">
        <v>0</v>
      </c>
      <c r="Y468">
        <v>0</v>
      </c>
      <c r="Z468">
        <v>0</v>
      </c>
      <c r="AA468">
        <v>0</v>
      </c>
      <c r="AB468">
        <v>0</v>
      </c>
    </row>
    <row r="469" spans="1:28" x14ac:dyDescent="0.3">
      <c r="A469" s="1">
        <v>44081</v>
      </c>
      <c r="B469" t="s">
        <v>102</v>
      </c>
      <c r="C469">
        <v>3</v>
      </c>
      <c r="D469">
        <v>0</v>
      </c>
      <c r="E469">
        <v>0</v>
      </c>
      <c r="F469">
        <v>0</v>
      </c>
      <c r="G469">
        <v>0</v>
      </c>
      <c r="H469">
        <v>0</v>
      </c>
      <c r="I469">
        <v>0</v>
      </c>
      <c r="J469">
        <v>0</v>
      </c>
      <c r="K469">
        <v>0</v>
      </c>
      <c r="L469">
        <v>0</v>
      </c>
      <c r="M469">
        <v>742098</v>
      </c>
      <c r="N469" t="s">
        <v>103</v>
      </c>
      <c r="O469" t="s">
        <v>104</v>
      </c>
      <c r="P469">
        <v>0</v>
      </c>
      <c r="Q469">
        <v>0</v>
      </c>
      <c r="R469">
        <v>0</v>
      </c>
      <c r="S469">
        <v>0</v>
      </c>
      <c r="T469">
        <v>0</v>
      </c>
      <c r="U469">
        <v>0</v>
      </c>
      <c r="V469">
        <v>0</v>
      </c>
      <c r="W469">
        <v>0</v>
      </c>
      <c r="X469">
        <v>0</v>
      </c>
      <c r="Y469">
        <v>0</v>
      </c>
      <c r="Z469">
        <v>0</v>
      </c>
      <c r="AA469">
        <v>0</v>
      </c>
      <c r="AB469">
        <v>0</v>
      </c>
    </row>
    <row r="470" spans="1:28" x14ac:dyDescent="0.3">
      <c r="A470" s="1">
        <v>44081</v>
      </c>
      <c r="B470" t="s">
        <v>87</v>
      </c>
      <c r="C470">
        <v>3</v>
      </c>
      <c r="D470">
        <v>0</v>
      </c>
      <c r="E470">
        <v>0</v>
      </c>
      <c r="F470">
        <v>0</v>
      </c>
      <c r="G470">
        <v>0</v>
      </c>
      <c r="H470">
        <v>0</v>
      </c>
      <c r="I470">
        <v>0</v>
      </c>
      <c r="J470">
        <v>0</v>
      </c>
      <c r="K470">
        <v>0</v>
      </c>
      <c r="L470">
        <v>0</v>
      </c>
      <c r="M470">
        <v>1519404</v>
      </c>
      <c r="N470" t="s">
        <v>88</v>
      </c>
      <c r="O470" t="s">
        <v>89</v>
      </c>
      <c r="P470">
        <v>0</v>
      </c>
      <c r="Q470">
        <v>0</v>
      </c>
      <c r="R470">
        <v>0</v>
      </c>
      <c r="S470">
        <v>0</v>
      </c>
      <c r="T470">
        <v>0</v>
      </c>
      <c r="U470">
        <v>0</v>
      </c>
      <c r="V470">
        <v>0</v>
      </c>
      <c r="W470">
        <v>0</v>
      </c>
      <c r="X470">
        <v>0</v>
      </c>
      <c r="Y470">
        <v>0</v>
      </c>
      <c r="Z470">
        <v>0</v>
      </c>
      <c r="AA470">
        <v>0</v>
      </c>
      <c r="AB470">
        <v>0</v>
      </c>
    </row>
    <row r="471" spans="1:28" x14ac:dyDescent="0.3">
      <c r="A471" s="1">
        <v>44081</v>
      </c>
      <c r="B471" t="s">
        <v>138</v>
      </c>
      <c r="C471">
        <v>3</v>
      </c>
      <c r="D471">
        <v>0</v>
      </c>
      <c r="E471">
        <v>0</v>
      </c>
      <c r="F471">
        <v>0</v>
      </c>
      <c r="G471">
        <v>0</v>
      </c>
      <c r="H471">
        <v>0</v>
      </c>
      <c r="I471">
        <v>0</v>
      </c>
      <c r="J471">
        <v>0</v>
      </c>
      <c r="K471">
        <v>0</v>
      </c>
      <c r="L471">
        <v>0</v>
      </c>
      <c r="M471">
        <v>1578665</v>
      </c>
      <c r="N471" t="s">
        <v>139</v>
      </c>
      <c r="O471" t="s">
        <v>140</v>
      </c>
      <c r="P471">
        <v>0</v>
      </c>
      <c r="Q471">
        <v>0</v>
      </c>
      <c r="R471">
        <v>0</v>
      </c>
      <c r="S471">
        <v>0</v>
      </c>
      <c r="T471">
        <v>0</v>
      </c>
      <c r="U471">
        <v>0</v>
      </c>
      <c r="V471">
        <v>0</v>
      </c>
      <c r="W471">
        <v>0</v>
      </c>
      <c r="X471">
        <v>0</v>
      </c>
      <c r="Y471">
        <v>0</v>
      </c>
      <c r="Z471">
        <v>0</v>
      </c>
      <c r="AA471">
        <v>0</v>
      </c>
      <c r="AB471">
        <v>0</v>
      </c>
    </row>
    <row r="472" spans="1:28" x14ac:dyDescent="0.3">
      <c r="A472" s="1">
        <v>44081</v>
      </c>
      <c r="B472" t="s">
        <v>129</v>
      </c>
      <c r="C472">
        <v>2</v>
      </c>
      <c r="D472">
        <v>0</v>
      </c>
      <c r="E472">
        <v>0</v>
      </c>
      <c r="F472">
        <v>0</v>
      </c>
      <c r="G472">
        <v>0</v>
      </c>
      <c r="H472">
        <v>0</v>
      </c>
      <c r="I472">
        <v>0</v>
      </c>
      <c r="J472">
        <v>0</v>
      </c>
      <c r="K472">
        <v>0</v>
      </c>
      <c r="L472">
        <v>0</v>
      </c>
      <c r="M472">
        <v>1140999</v>
      </c>
      <c r="N472" t="s">
        <v>130</v>
      </c>
      <c r="O472" t="s">
        <v>131</v>
      </c>
      <c r="P472">
        <v>0</v>
      </c>
      <c r="Q472">
        <v>0</v>
      </c>
      <c r="R472">
        <v>0</v>
      </c>
      <c r="S472">
        <v>0</v>
      </c>
      <c r="T472">
        <v>0</v>
      </c>
      <c r="U472">
        <v>0</v>
      </c>
      <c r="V472">
        <v>0</v>
      </c>
      <c r="W472">
        <v>0</v>
      </c>
      <c r="X472">
        <v>0</v>
      </c>
      <c r="Y472">
        <v>0</v>
      </c>
      <c r="Z472">
        <v>0</v>
      </c>
      <c r="AA472">
        <v>0</v>
      </c>
      <c r="AB472">
        <v>0</v>
      </c>
    </row>
    <row r="473" spans="1:28" x14ac:dyDescent="0.3">
      <c r="A473" s="1">
        <v>44081</v>
      </c>
      <c r="B473" t="s">
        <v>84</v>
      </c>
      <c r="C473">
        <v>2</v>
      </c>
      <c r="D473">
        <v>0</v>
      </c>
      <c r="E473">
        <v>0</v>
      </c>
      <c r="F473">
        <v>0</v>
      </c>
      <c r="G473">
        <v>0</v>
      </c>
      <c r="H473">
        <v>0</v>
      </c>
      <c r="I473">
        <v>0</v>
      </c>
      <c r="J473">
        <v>0</v>
      </c>
      <c r="K473">
        <v>0</v>
      </c>
      <c r="L473">
        <v>0</v>
      </c>
      <c r="M473">
        <v>1242889</v>
      </c>
      <c r="N473" t="s">
        <v>85</v>
      </c>
      <c r="O473" t="s">
        <v>86</v>
      </c>
      <c r="P473">
        <v>0</v>
      </c>
      <c r="Q473">
        <v>0</v>
      </c>
      <c r="R473">
        <v>0</v>
      </c>
      <c r="S473">
        <v>0</v>
      </c>
      <c r="T473">
        <v>0</v>
      </c>
      <c r="U473">
        <v>0</v>
      </c>
      <c r="V473">
        <v>0</v>
      </c>
      <c r="W473">
        <v>0</v>
      </c>
      <c r="X473">
        <v>0</v>
      </c>
      <c r="Y473">
        <v>0</v>
      </c>
      <c r="Z473">
        <v>0</v>
      </c>
      <c r="AA473">
        <v>0</v>
      </c>
      <c r="AB473">
        <v>0</v>
      </c>
    </row>
    <row r="474" spans="1:28" x14ac:dyDescent="0.3">
      <c r="A474" s="1">
        <v>44081</v>
      </c>
      <c r="B474" t="s">
        <v>177</v>
      </c>
      <c r="C474">
        <v>2</v>
      </c>
      <c r="D474">
        <v>0</v>
      </c>
      <c r="E474">
        <v>0</v>
      </c>
      <c r="F474">
        <v>0</v>
      </c>
      <c r="G474">
        <v>0</v>
      </c>
      <c r="H474">
        <v>0</v>
      </c>
      <c r="I474">
        <v>0</v>
      </c>
      <c r="J474">
        <v>0</v>
      </c>
      <c r="K474">
        <v>0</v>
      </c>
      <c r="L474">
        <v>0</v>
      </c>
      <c r="M474">
        <v>1869309</v>
      </c>
      <c r="N474" t="s">
        <v>178</v>
      </c>
      <c r="O474" t="s">
        <v>179</v>
      </c>
      <c r="P474">
        <v>0</v>
      </c>
      <c r="Q474">
        <v>0</v>
      </c>
      <c r="R474">
        <v>0</v>
      </c>
      <c r="S474">
        <v>0</v>
      </c>
      <c r="T474">
        <v>0</v>
      </c>
      <c r="U474">
        <v>0</v>
      </c>
      <c r="V474">
        <v>0</v>
      </c>
      <c r="W474">
        <v>0</v>
      </c>
      <c r="X474">
        <v>0</v>
      </c>
      <c r="Y474">
        <v>0</v>
      </c>
      <c r="Z474">
        <v>0</v>
      </c>
      <c r="AA474">
        <v>0</v>
      </c>
      <c r="AB474">
        <v>0</v>
      </c>
    </row>
    <row r="475" spans="1:28" x14ac:dyDescent="0.3">
      <c r="A475" s="1">
        <v>44081</v>
      </c>
      <c r="B475" t="s">
        <v>144</v>
      </c>
      <c r="C475">
        <v>2</v>
      </c>
      <c r="D475">
        <v>0</v>
      </c>
      <c r="E475">
        <v>0</v>
      </c>
      <c r="F475">
        <v>0</v>
      </c>
      <c r="G475">
        <v>0</v>
      </c>
      <c r="H475">
        <v>0</v>
      </c>
      <c r="I475">
        <v>0</v>
      </c>
      <c r="J475">
        <v>0</v>
      </c>
      <c r="K475">
        <v>0</v>
      </c>
      <c r="L475">
        <v>0</v>
      </c>
      <c r="M475">
        <v>2015681</v>
      </c>
      <c r="N475" t="s">
        <v>145</v>
      </c>
      <c r="O475" t="s">
        <v>146</v>
      </c>
      <c r="P475">
        <v>0</v>
      </c>
      <c r="Q475">
        <v>0</v>
      </c>
      <c r="R475">
        <v>0</v>
      </c>
      <c r="S475">
        <v>0</v>
      </c>
      <c r="T475">
        <v>0</v>
      </c>
      <c r="U475">
        <v>0</v>
      </c>
      <c r="V475">
        <v>0</v>
      </c>
      <c r="W475">
        <v>0</v>
      </c>
      <c r="X475">
        <v>0</v>
      </c>
      <c r="Y475">
        <v>0</v>
      </c>
      <c r="Z475">
        <v>0</v>
      </c>
      <c r="AA475">
        <v>0</v>
      </c>
      <c r="AB475">
        <v>0</v>
      </c>
    </row>
    <row r="476" spans="1:28" x14ac:dyDescent="0.3">
      <c r="A476" s="1">
        <v>44081</v>
      </c>
      <c r="B476" t="s">
        <v>120</v>
      </c>
      <c r="C476">
        <v>1</v>
      </c>
      <c r="D476">
        <v>0</v>
      </c>
      <c r="E476">
        <v>0</v>
      </c>
      <c r="F476">
        <v>0</v>
      </c>
      <c r="G476">
        <v>0</v>
      </c>
      <c r="H476">
        <v>0</v>
      </c>
      <c r="I476">
        <v>0</v>
      </c>
      <c r="J476">
        <v>0</v>
      </c>
      <c r="K476">
        <v>0</v>
      </c>
      <c r="L476">
        <v>0</v>
      </c>
      <c r="M476">
        <v>154911</v>
      </c>
      <c r="N476" t="s">
        <v>121</v>
      </c>
      <c r="O476" t="s">
        <v>122</v>
      </c>
      <c r="P476">
        <v>0</v>
      </c>
      <c r="Q476">
        <v>0</v>
      </c>
      <c r="R476">
        <v>0</v>
      </c>
      <c r="S476">
        <v>0</v>
      </c>
      <c r="T476">
        <v>0</v>
      </c>
      <c r="U476">
        <v>0</v>
      </c>
      <c r="V476">
        <v>0</v>
      </c>
      <c r="W476">
        <v>0</v>
      </c>
      <c r="X476">
        <v>0</v>
      </c>
      <c r="Y476">
        <v>0</v>
      </c>
      <c r="Z476">
        <v>0</v>
      </c>
      <c r="AA476">
        <v>0</v>
      </c>
      <c r="AB476">
        <v>0</v>
      </c>
    </row>
    <row r="477" spans="1:28" x14ac:dyDescent="0.3">
      <c r="A477" s="1">
        <v>44081</v>
      </c>
      <c r="B477" t="s">
        <v>99</v>
      </c>
      <c r="C477">
        <v>1</v>
      </c>
      <c r="D477">
        <v>0</v>
      </c>
      <c r="E477">
        <v>0</v>
      </c>
      <c r="F477">
        <v>0</v>
      </c>
      <c r="G477">
        <v>0</v>
      </c>
      <c r="H477">
        <v>0</v>
      </c>
      <c r="I477">
        <v>0</v>
      </c>
      <c r="J477">
        <v>0</v>
      </c>
      <c r="K477">
        <v>0</v>
      </c>
      <c r="L477">
        <v>0</v>
      </c>
      <c r="M477">
        <v>193744</v>
      </c>
      <c r="N477" t="s">
        <v>100</v>
      </c>
      <c r="O477" t="s">
        <v>101</v>
      </c>
      <c r="P477">
        <v>0</v>
      </c>
      <c r="Q477">
        <v>0</v>
      </c>
      <c r="R477">
        <v>0</v>
      </c>
      <c r="S477">
        <v>0</v>
      </c>
      <c r="T477">
        <v>0</v>
      </c>
      <c r="U477">
        <v>0</v>
      </c>
      <c r="V477">
        <v>0</v>
      </c>
      <c r="W477">
        <v>0</v>
      </c>
      <c r="X477">
        <v>0</v>
      </c>
      <c r="Y477">
        <v>0</v>
      </c>
      <c r="Z477">
        <v>0</v>
      </c>
      <c r="AA477">
        <v>0</v>
      </c>
      <c r="AB477">
        <v>0</v>
      </c>
    </row>
    <row r="478" spans="1:28" x14ac:dyDescent="0.3">
      <c r="A478" s="1">
        <v>44081</v>
      </c>
      <c r="B478" t="s">
        <v>126</v>
      </c>
      <c r="C478">
        <v>1</v>
      </c>
      <c r="D478">
        <v>0</v>
      </c>
      <c r="E478">
        <v>0</v>
      </c>
      <c r="F478">
        <v>0</v>
      </c>
      <c r="G478">
        <v>0</v>
      </c>
      <c r="H478">
        <v>0</v>
      </c>
      <c r="I478">
        <v>0</v>
      </c>
      <c r="J478">
        <v>0</v>
      </c>
      <c r="K478">
        <v>0</v>
      </c>
      <c r="L478">
        <v>0</v>
      </c>
      <c r="M478">
        <v>318676</v>
      </c>
      <c r="N478" t="s">
        <v>127</v>
      </c>
      <c r="O478" t="s">
        <v>128</v>
      </c>
      <c r="P478">
        <v>0</v>
      </c>
      <c r="Q478">
        <v>0</v>
      </c>
      <c r="R478">
        <v>0</v>
      </c>
      <c r="S478">
        <v>0</v>
      </c>
      <c r="T478">
        <v>0</v>
      </c>
      <c r="U478">
        <v>0</v>
      </c>
      <c r="V478">
        <v>0</v>
      </c>
      <c r="W478">
        <v>0</v>
      </c>
      <c r="X478">
        <v>0</v>
      </c>
      <c r="Y478">
        <v>0</v>
      </c>
      <c r="Z478">
        <v>0</v>
      </c>
      <c r="AA478">
        <v>0</v>
      </c>
      <c r="AB478">
        <v>0</v>
      </c>
    </row>
    <row r="479" spans="1:28" x14ac:dyDescent="0.3">
      <c r="A479" s="1">
        <v>44081</v>
      </c>
      <c r="B479" t="s">
        <v>105</v>
      </c>
      <c r="C479">
        <v>1</v>
      </c>
      <c r="D479">
        <v>0</v>
      </c>
      <c r="E479">
        <v>0</v>
      </c>
      <c r="F479">
        <v>0</v>
      </c>
      <c r="G479">
        <v>0</v>
      </c>
      <c r="H479">
        <v>0</v>
      </c>
      <c r="I479">
        <v>0</v>
      </c>
      <c r="J479">
        <v>0</v>
      </c>
      <c r="K479">
        <v>0</v>
      </c>
      <c r="L479">
        <v>0</v>
      </c>
      <c r="M479">
        <v>930703</v>
      </c>
      <c r="N479" t="s">
        <v>106</v>
      </c>
      <c r="O479" t="s">
        <v>107</v>
      </c>
      <c r="P479">
        <v>0</v>
      </c>
      <c r="Q479">
        <v>0</v>
      </c>
      <c r="R479">
        <v>0</v>
      </c>
      <c r="S479">
        <v>0</v>
      </c>
      <c r="T479">
        <v>0</v>
      </c>
      <c r="U479">
        <v>0</v>
      </c>
      <c r="V479">
        <v>0</v>
      </c>
      <c r="W479">
        <v>0</v>
      </c>
      <c r="X479">
        <v>0</v>
      </c>
      <c r="Y479">
        <v>0</v>
      </c>
      <c r="Z479">
        <v>0</v>
      </c>
      <c r="AA479">
        <v>0</v>
      </c>
      <c r="AB479">
        <v>0</v>
      </c>
    </row>
    <row r="480" spans="1:28" x14ac:dyDescent="0.3">
      <c r="A480" s="1">
        <v>44081</v>
      </c>
      <c r="B480" t="s">
        <v>183</v>
      </c>
      <c r="C480">
        <v>1</v>
      </c>
      <c r="D480">
        <v>0</v>
      </c>
      <c r="E480">
        <v>0</v>
      </c>
      <c r="F480">
        <v>0</v>
      </c>
      <c r="G480">
        <v>0</v>
      </c>
      <c r="H480">
        <v>0</v>
      </c>
      <c r="I480">
        <v>0</v>
      </c>
      <c r="J480">
        <v>0</v>
      </c>
      <c r="K480">
        <v>0</v>
      </c>
      <c r="L480">
        <v>0</v>
      </c>
      <c r="M480">
        <v>1250612</v>
      </c>
      <c r="N480" t="s">
        <v>184</v>
      </c>
      <c r="O480" t="s">
        <v>185</v>
      </c>
      <c r="P480">
        <v>0</v>
      </c>
      <c r="Q480">
        <v>0</v>
      </c>
      <c r="R480">
        <v>0</v>
      </c>
      <c r="S480">
        <v>0</v>
      </c>
      <c r="T480">
        <v>0</v>
      </c>
      <c r="U480">
        <v>0</v>
      </c>
      <c r="V480">
        <v>0</v>
      </c>
      <c r="W480">
        <v>0</v>
      </c>
      <c r="X480">
        <v>0</v>
      </c>
      <c r="Y480">
        <v>0</v>
      </c>
      <c r="Z480">
        <v>0</v>
      </c>
      <c r="AA480">
        <v>0</v>
      </c>
      <c r="AB480">
        <v>0</v>
      </c>
    </row>
    <row r="481" spans="1:28" x14ac:dyDescent="0.3">
      <c r="A481" s="1">
        <v>44081</v>
      </c>
      <c r="B481" t="s">
        <v>108</v>
      </c>
      <c r="C481">
        <v>1</v>
      </c>
      <c r="D481">
        <v>0</v>
      </c>
      <c r="E481">
        <v>0</v>
      </c>
      <c r="F481">
        <v>0</v>
      </c>
      <c r="G481">
        <v>0</v>
      </c>
      <c r="H481">
        <v>0</v>
      </c>
      <c r="I481">
        <v>0</v>
      </c>
      <c r="J481">
        <v>0</v>
      </c>
      <c r="K481">
        <v>0</v>
      </c>
      <c r="L481">
        <v>0</v>
      </c>
      <c r="M481">
        <v>1273061</v>
      </c>
      <c r="N481" t="s">
        <v>109</v>
      </c>
      <c r="O481" t="s">
        <v>110</v>
      </c>
      <c r="P481">
        <v>0</v>
      </c>
      <c r="Q481">
        <v>0</v>
      </c>
      <c r="R481">
        <v>0</v>
      </c>
      <c r="S481">
        <v>0</v>
      </c>
      <c r="T481">
        <v>0</v>
      </c>
      <c r="U481">
        <v>0</v>
      </c>
      <c r="V481">
        <v>0</v>
      </c>
      <c r="W481">
        <v>0</v>
      </c>
      <c r="X481">
        <v>0</v>
      </c>
      <c r="Y481">
        <v>0</v>
      </c>
      <c r="Z481">
        <v>0</v>
      </c>
      <c r="AA481">
        <v>0</v>
      </c>
      <c r="AB481">
        <v>0</v>
      </c>
    </row>
    <row r="482" spans="1:28" x14ac:dyDescent="0.3">
      <c r="A482" s="1">
        <v>44081</v>
      </c>
      <c r="B482" t="s">
        <v>171</v>
      </c>
      <c r="C482">
        <v>1</v>
      </c>
      <c r="D482">
        <v>0</v>
      </c>
      <c r="E482">
        <v>0</v>
      </c>
      <c r="F482">
        <v>0</v>
      </c>
      <c r="G482">
        <v>0</v>
      </c>
      <c r="H482">
        <v>0</v>
      </c>
      <c r="I482">
        <v>0</v>
      </c>
      <c r="J482">
        <v>0</v>
      </c>
      <c r="K482">
        <v>0</v>
      </c>
      <c r="L482">
        <v>0</v>
      </c>
      <c r="M482">
        <v>1606247</v>
      </c>
      <c r="N482" t="s">
        <v>172</v>
      </c>
      <c r="O482" t="s">
        <v>173</v>
      </c>
      <c r="P482">
        <v>0</v>
      </c>
      <c r="Q482">
        <v>0</v>
      </c>
      <c r="R482">
        <v>0</v>
      </c>
      <c r="S482">
        <v>0</v>
      </c>
      <c r="T482">
        <v>0</v>
      </c>
      <c r="U482">
        <v>0</v>
      </c>
      <c r="V482">
        <v>0</v>
      </c>
      <c r="W482">
        <v>0</v>
      </c>
      <c r="X482">
        <v>0</v>
      </c>
      <c r="Y482">
        <v>0</v>
      </c>
      <c r="Z482">
        <v>0</v>
      </c>
      <c r="AA482">
        <v>0</v>
      </c>
      <c r="AB482">
        <v>0</v>
      </c>
    </row>
    <row r="483" spans="1:28" x14ac:dyDescent="0.3">
      <c r="A483" s="1">
        <v>44081</v>
      </c>
      <c r="B483" t="s">
        <v>111</v>
      </c>
      <c r="C483">
        <v>1</v>
      </c>
      <c r="D483">
        <v>0</v>
      </c>
      <c r="E483">
        <v>0</v>
      </c>
      <c r="F483">
        <v>0</v>
      </c>
      <c r="G483">
        <v>0</v>
      </c>
      <c r="H483">
        <v>0</v>
      </c>
      <c r="I483">
        <v>0</v>
      </c>
      <c r="J483">
        <v>0</v>
      </c>
      <c r="K483">
        <v>0</v>
      </c>
      <c r="L483">
        <v>0</v>
      </c>
      <c r="M483">
        <v>1649859</v>
      </c>
      <c r="N483" t="s">
        <v>112</v>
      </c>
      <c r="O483" t="s">
        <v>113</v>
      </c>
      <c r="P483">
        <v>0</v>
      </c>
      <c r="Q483">
        <v>0</v>
      </c>
      <c r="R483">
        <v>0</v>
      </c>
      <c r="S483">
        <v>0</v>
      </c>
      <c r="T483">
        <v>0</v>
      </c>
      <c r="U483">
        <v>0</v>
      </c>
      <c r="V483">
        <v>0</v>
      </c>
      <c r="W483">
        <v>0</v>
      </c>
      <c r="X483">
        <v>0</v>
      </c>
      <c r="Y483">
        <v>0</v>
      </c>
      <c r="Z483">
        <v>0</v>
      </c>
      <c r="AA483">
        <v>0</v>
      </c>
      <c r="AB483">
        <v>0</v>
      </c>
    </row>
    <row r="484" spans="1:28" x14ac:dyDescent="0.3">
      <c r="A484" s="1">
        <v>44081</v>
      </c>
      <c r="B484" t="s">
        <v>147</v>
      </c>
      <c r="C484">
        <v>1</v>
      </c>
      <c r="D484">
        <v>0</v>
      </c>
      <c r="E484">
        <v>0</v>
      </c>
      <c r="F484">
        <v>0</v>
      </c>
      <c r="G484">
        <v>0</v>
      </c>
      <c r="H484">
        <v>0</v>
      </c>
      <c r="I484">
        <v>0</v>
      </c>
      <c r="J484">
        <v>0</v>
      </c>
      <c r="K484">
        <v>0</v>
      </c>
      <c r="L484">
        <v>0</v>
      </c>
      <c r="M484">
        <v>2075116</v>
      </c>
      <c r="N484" t="s">
        <v>148</v>
      </c>
      <c r="O484" t="s">
        <v>149</v>
      </c>
      <c r="P484">
        <v>0</v>
      </c>
      <c r="Q484">
        <v>0</v>
      </c>
      <c r="R484">
        <v>0</v>
      </c>
      <c r="S484">
        <v>0</v>
      </c>
      <c r="T484">
        <v>0</v>
      </c>
      <c r="U484">
        <v>0</v>
      </c>
      <c r="V484">
        <v>0</v>
      </c>
      <c r="W484">
        <v>0</v>
      </c>
      <c r="X484">
        <v>0</v>
      </c>
      <c r="Y484">
        <v>0</v>
      </c>
      <c r="Z484">
        <v>0</v>
      </c>
      <c r="AA484">
        <v>0</v>
      </c>
      <c r="AB484">
        <v>0</v>
      </c>
    </row>
    <row r="485" spans="1:28" x14ac:dyDescent="0.3">
      <c r="A485" s="1">
        <v>44081</v>
      </c>
      <c r="B485" t="s">
        <v>198</v>
      </c>
      <c r="C485">
        <v>1</v>
      </c>
      <c r="D485">
        <v>0</v>
      </c>
      <c r="E485">
        <v>0</v>
      </c>
      <c r="F485">
        <v>0</v>
      </c>
      <c r="G485">
        <v>0</v>
      </c>
      <c r="H485">
        <v>0</v>
      </c>
      <c r="I485">
        <v>0</v>
      </c>
      <c r="J485">
        <v>0</v>
      </c>
      <c r="K485">
        <v>0</v>
      </c>
      <c r="L485">
        <v>0</v>
      </c>
      <c r="M485">
        <v>2292146</v>
      </c>
      <c r="N485" t="s">
        <v>199</v>
      </c>
      <c r="O485" t="s">
        <v>200</v>
      </c>
      <c r="P485">
        <v>0</v>
      </c>
      <c r="Q485">
        <v>0</v>
      </c>
      <c r="R485">
        <v>0</v>
      </c>
      <c r="S485">
        <v>0</v>
      </c>
      <c r="T485">
        <v>0</v>
      </c>
      <c r="U485">
        <v>0</v>
      </c>
      <c r="V485">
        <v>0</v>
      </c>
      <c r="W485">
        <v>0</v>
      </c>
      <c r="X485">
        <v>0</v>
      </c>
      <c r="Y485">
        <v>0</v>
      </c>
      <c r="Z485">
        <v>0</v>
      </c>
      <c r="AA485">
        <v>0</v>
      </c>
      <c r="AB485">
        <v>0</v>
      </c>
    </row>
    <row r="486" spans="1:28" x14ac:dyDescent="0.3">
      <c r="A486" s="1">
        <v>44081</v>
      </c>
      <c r="B486" t="s">
        <v>117</v>
      </c>
      <c r="C486">
        <v>1</v>
      </c>
      <c r="D486">
        <v>0</v>
      </c>
      <c r="E486">
        <v>0</v>
      </c>
      <c r="F486">
        <v>0</v>
      </c>
      <c r="G486">
        <v>0</v>
      </c>
      <c r="H486">
        <v>0</v>
      </c>
      <c r="I486">
        <v>0</v>
      </c>
      <c r="J486">
        <v>0</v>
      </c>
      <c r="K486">
        <v>0</v>
      </c>
      <c r="L486">
        <v>0</v>
      </c>
      <c r="M486">
        <v>2316883</v>
      </c>
      <c r="N486" t="s">
        <v>118</v>
      </c>
      <c r="O486" t="s">
        <v>119</v>
      </c>
      <c r="P486">
        <v>0</v>
      </c>
      <c r="Q486">
        <v>0</v>
      </c>
      <c r="R486">
        <v>0</v>
      </c>
      <c r="S486">
        <v>0</v>
      </c>
      <c r="T486">
        <v>0</v>
      </c>
      <c r="U486">
        <v>0</v>
      </c>
      <c r="V486">
        <v>0</v>
      </c>
      <c r="W486">
        <v>0</v>
      </c>
      <c r="X486">
        <v>0</v>
      </c>
      <c r="Y486">
        <v>0</v>
      </c>
      <c r="Z486">
        <v>0</v>
      </c>
      <c r="AA486">
        <v>0</v>
      </c>
      <c r="AB486">
        <v>0</v>
      </c>
    </row>
    <row r="487" spans="1:28" x14ac:dyDescent="0.3">
      <c r="A487" s="1">
        <v>44081</v>
      </c>
      <c r="B487" t="s">
        <v>201</v>
      </c>
      <c r="C487">
        <v>1</v>
      </c>
      <c r="D487">
        <v>0</v>
      </c>
      <c r="E487">
        <v>0</v>
      </c>
      <c r="F487">
        <v>0</v>
      </c>
      <c r="G487">
        <v>0</v>
      </c>
      <c r="H487">
        <v>0</v>
      </c>
      <c r="I487">
        <v>0</v>
      </c>
      <c r="J487">
        <v>0</v>
      </c>
      <c r="K487">
        <v>0</v>
      </c>
      <c r="L487">
        <v>0</v>
      </c>
      <c r="M487">
        <v>2334633</v>
      </c>
      <c r="N487" t="s">
        <v>202</v>
      </c>
      <c r="O487" t="s">
        <v>203</v>
      </c>
      <c r="P487">
        <v>0</v>
      </c>
      <c r="Q487">
        <v>0</v>
      </c>
      <c r="R487">
        <v>0</v>
      </c>
      <c r="S487">
        <v>0</v>
      </c>
      <c r="T487">
        <v>0</v>
      </c>
      <c r="U487">
        <v>0</v>
      </c>
      <c r="V487">
        <v>0</v>
      </c>
      <c r="W487">
        <v>0</v>
      </c>
      <c r="X487">
        <v>0</v>
      </c>
      <c r="Y487">
        <v>0</v>
      </c>
      <c r="Z487">
        <v>0</v>
      </c>
      <c r="AA487">
        <v>0</v>
      </c>
      <c r="AB487">
        <v>0</v>
      </c>
    </row>
    <row r="488" spans="1:28" x14ac:dyDescent="0.3">
      <c r="A488" s="1">
        <v>44081</v>
      </c>
    </row>
    <row r="489" spans="1:28" x14ac:dyDescent="0.3">
      <c r="A489" s="1">
        <v>44081</v>
      </c>
    </row>
    <row r="490" spans="1:28" x14ac:dyDescent="0.3">
      <c r="A490" s="1">
        <v>44082</v>
      </c>
      <c r="B490" t="s">
        <v>117</v>
      </c>
      <c r="C490">
        <v>2</v>
      </c>
      <c r="D490">
        <v>541.65</v>
      </c>
      <c r="E490">
        <v>0</v>
      </c>
      <c r="F490">
        <v>541.65</v>
      </c>
      <c r="G490">
        <v>3</v>
      </c>
      <c r="H490">
        <v>0</v>
      </c>
      <c r="I490">
        <v>54.17</v>
      </c>
      <c r="J490">
        <v>150</v>
      </c>
      <c r="K490">
        <v>2708.5</v>
      </c>
      <c r="L490">
        <v>180.55</v>
      </c>
      <c r="M490">
        <v>2316883</v>
      </c>
      <c r="N490" t="s">
        <v>118</v>
      </c>
      <c r="O490" t="s">
        <v>119</v>
      </c>
      <c r="P490">
        <v>3</v>
      </c>
      <c r="Q490">
        <v>0</v>
      </c>
      <c r="R490">
        <v>0</v>
      </c>
      <c r="S490">
        <v>0</v>
      </c>
      <c r="T490">
        <v>0</v>
      </c>
      <c r="U490">
        <v>0</v>
      </c>
      <c r="V490">
        <v>54.17</v>
      </c>
      <c r="W490">
        <v>0</v>
      </c>
      <c r="X490">
        <v>0</v>
      </c>
      <c r="Y490">
        <v>0</v>
      </c>
      <c r="Z490">
        <v>0</v>
      </c>
      <c r="AA490">
        <v>0</v>
      </c>
      <c r="AB490">
        <v>10.83</v>
      </c>
    </row>
    <row r="491" spans="1:28" x14ac:dyDescent="0.3">
      <c r="A491" s="1">
        <v>44082</v>
      </c>
      <c r="B491" t="s">
        <v>46</v>
      </c>
      <c r="C491">
        <v>12</v>
      </c>
      <c r="D491">
        <v>324.8</v>
      </c>
      <c r="E491">
        <v>0</v>
      </c>
      <c r="F491">
        <v>324.8</v>
      </c>
      <c r="G491">
        <v>2</v>
      </c>
      <c r="H491">
        <v>0</v>
      </c>
      <c r="I491">
        <v>9.74</v>
      </c>
      <c r="J491">
        <v>16.670000000000002</v>
      </c>
      <c r="K491">
        <v>81.17</v>
      </c>
      <c r="L491">
        <v>162.4</v>
      </c>
      <c r="M491">
        <v>445875</v>
      </c>
      <c r="N491" t="s">
        <v>47</v>
      </c>
      <c r="O491" t="s">
        <v>48</v>
      </c>
      <c r="P491">
        <v>2</v>
      </c>
      <c r="Q491">
        <v>0</v>
      </c>
      <c r="R491">
        <v>0</v>
      </c>
      <c r="S491">
        <v>0</v>
      </c>
      <c r="T491">
        <v>0</v>
      </c>
      <c r="U491">
        <v>0</v>
      </c>
      <c r="V491">
        <v>9.74</v>
      </c>
      <c r="W491">
        <v>0</v>
      </c>
      <c r="X491">
        <v>0</v>
      </c>
      <c r="Y491">
        <v>0</v>
      </c>
      <c r="Z491">
        <v>0</v>
      </c>
      <c r="AA491">
        <v>0</v>
      </c>
      <c r="AB491">
        <v>1.95</v>
      </c>
    </row>
    <row r="492" spans="1:28" x14ac:dyDescent="0.3">
      <c r="A492" s="1">
        <v>44082</v>
      </c>
      <c r="B492" t="s">
        <v>72</v>
      </c>
      <c r="C492">
        <v>9</v>
      </c>
      <c r="D492">
        <v>249</v>
      </c>
      <c r="E492">
        <v>0</v>
      </c>
      <c r="F492">
        <v>249</v>
      </c>
      <c r="G492">
        <v>1</v>
      </c>
      <c r="H492">
        <v>0</v>
      </c>
      <c r="I492">
        <v>29.88</v>
      </c>
      <c r="J492">
        <v>11.11</v>
      </c>
      <c r="K492">
        <v>332</v>
      </c>
      <c r="L492">
        <v>249</v>
      </c>
      <c r="M492">
        <v>514792</v>
      </c>
      <c r="N492" t="s">
        <v>73</v>
      </c>
      <c r="O492" t="s">
        <v>74</v>
      </c>
      <c r="P492">
        <v>1</v>
      </c>
      <c r="Q492">
        <v>0</v>
      </c>
      <c r="R492">
        <v>0</v>
      </c>
      <c r="S492">
        <v>0</v>
      </c>
      <c r="T492">
        <v>0</v>
      </c>
      <c r="U492">
        <v>0</v>
      </c>
      <c r="V492">
        <v>29.88</v>
      </c>
      <c r="W492">
        <v>0</v>
      </c>
      <c r="X492">
        <v>0</v>
      </c>
      <c r="Y492">
        <v>0</v>
      </c>
      <c r="Z492">
        <v>0</v>
      </c>
      <c r="AA492">
        <v>0</v>
      </c>
      <c r="AB492">
        <v>5.98</v>
      </c>
    </row>
    <row r="493" spans="1:28" x14ac:dyDescent="0.3">
      <c r="A493" s="1">
        <v>44082</v>
      </c>
      <c r="B493" t="s">
        <v>123</v>
      </c>
      <c r="C493">
        <v>4</v>
      </c>
      <c r="D493">
        <v>207.2</v>
      </c>
      <c r="E493">
        <v>0</v>
      </c>
      <c r="F493">
        <v>207.2</v>
      </c>
      <c r="G493">
        <v>1</v>
      </c>
      <c r="H493">
        <v>0</v>
      </c>
      <c r="I493">
        <v>6.22</v>
      </c>
      <c r="J493">
        <v>25</v>
      </c>
      <c r="K493">
        <v>155.5</v>
      </c>
      <c r="L493">
        <v>207.2</v>
      </c>
      <c r="M493">
        <v>213636</v>
      </c>
      <c r="N493" t="s">
        <v>124</v>
      </c>
      <c r="O493" t="s">
        <v>125</v>
      </c>
      <c r="P493">
        <v>1</v>
      </c>
      <c r="Q493">
        <v>0</v>
      </c>
      <c r="R493">
        <v>0</v>
      </c>
      <c r="S493">
        <v>0</v>
      </c>
      <c r="T493">
        <v>0</v>
      </c>
      <c r="U493">
        <v>0</v>
      </c>
      <c r="V493">
        <v>6.22</v>
      </c>
      <c r="W493">
        <v>0</v>
      </c>
      <c r="X493">
        <v>0</v>
      </c>
      <c r="Y493">
        <v>0</v>
      </c>
      <c r="Z493">
        <v>0</v>
      </c>
      <c r="AA493">
        <v>0</v>
      </c>
      <c r="AB493">
        <v>1.24</v>
      </c>
    </row>
    <row r="494" spans="1:28" x14ac:dyDescent="0.3">
      <c r="A494" s="1">
        <v>44082</v>
      </c>
      <c r="B494" t="s">
        <v>90</v>
      </c>
      <c r="C494">
        <v>3</v>
      </c>
      <c r="D494">
        <v>181.3</v>
      </c>
      <c r="E494">
        <v>0</v>
      </c>
      <c r="F494">
        <v>181.3</v>
      </c>
      <c r="G494">
        <v>1</v>
      </c>
      <c r="H494">
        <v>0</v>
      </c>
      <c r="I494">
        <v>5.44</v>
      </c>
      <c r="J494">
        <v>33.33</v>
      </c>
      <c r="K494">
        <v>181.33</v>
      </c>
      <c r="L494">
        <v>181.3</v>
      </c>
      <c r="M494">
        <v>136482</v>
      </c>
      <c r="N494" t="s">
        <v>91</v>
      </c>
      <c r="O494" t="s">
        <v>92</v>
      </c>
      <c r="P494">
        <v>1</v>
      </c>
      <c r="Q494">
        <v>0</v>
      </c>
      <c r="R494">
        <v>0</v>
      </c>
      <c r="S494">
        <v>0</v>
      </c>
      <c r="T494">
        <v>0</v>
      </c>
      <c r="U494">
        <v>0</v>
      </c>
      <c r="V494">
        <v>5.44</v>
      </c>
      <c r="W494">
        <v>0</v>
      </c>
      <c r="X494">
        <v>0</v>
      </c>
      <c r="Y494">
        <v>0</v>
      </c>
      <c r="Z494">
        <v>0</v>
      </c>
      <c r="AA494">
        <v>0</v>
      </c>
      <c r="AB494">
        <v>1.0900000000000001</v>
      </c>
    </row>
    <row r="495" spans="1:28" x14ac:dyDescent="0.3">
      <c r="A495" s="1">
        <v>44082</v>
      </c>
      <c r="B495" t="s">
        <v>183</v>
      </c>
      <c r="C495">
        <v>1</v>
      </c>
      <c r="D495">
        <v>170</v>
      </c>
      <c r="E495">
        <v>0</v>
      </c>
      <c r="F495">
        <v>170</v>
      </c>
      <c r="G495">
        <v>1</v>
      </c>
      <c r="H495">
        <v>0</v>
      </c>
      <c r="I495">
        <v>5.0999999999999996</v>
      </c>
      <c r="J495">
        <v>100</v>
      </c>
      <c r="K495">
        <v>510</v>
      </c>
      <c r="L495">
        <v>170</v>
      </c>
      <c r="M495">
        <v>1250612</v>
      </c>
      <c r="N495" t="s">
        <v>184</v>
      </c>
      <c r="O495" t="s">
        <v>185</v>
      </c>
      <c r="P495">
        <v>1</v>
      </c>
      <c r="Q495">
        <v>0</v>
      </c>
      <c r="R495">
        <v>0</v>
      </c>
      <c r="S495">
        <v>0</v>
      </c>
      <c r="T495">
        <v>0</v>
      </c>
      <c r="U495">
        <v>0</v>
      </c>
      <c r="V495">
        <v>5.0999999999999996</v>
      </c>
      <c r="W495">
        <v>0</v>
      </c>
      <c r="X495">
        <v>0</v>
      </c>
      <c r="Y495">
        <v>0</v>
      </c>
      <c r="Z495">
        <v>0</v>
      </c>
      <c r="AA495">
        <v>0</v>
      </c>
      <c r="AB495">
        <v>1.02</v>
      </c>
    </row>
    <row r="496" spans="1:28" x14ac:dyDescent="0.3">
      <c r="A496" s="1">
        <v>44082</v>
      </c>
      <c r="B496" t="s">
        <v>31</v>
      </c>
      <c r="C496">
        <v>1</v>
      </c>
      <c r="D496">
        <v>169</v>
      </c>
      <c r="E496">
        <v>0</v>
      </c>
      <c r="F496">
        <v>169</v>
      </c>
      <c r="G496">
        <v>1</v>
      </c>
      <c r="H496">
        <v>0</v>
      </c>
      <c r="I496">
        <v>16.899999999999999</v>
      </c>
      <c r="J496">
        <v>100</v>
      </c>
      <c r="K496">
        <v>1690</v>
      </c>
      <c r="L496">
        <v>169</v>
      </c>
      <c r="M496">
        <v>1663605</v>
      </c>
      <c r="N496" t="s">
        <v>32</v>
      </c>
      <c r="O496" t="s">
        <v>33</v>
      </c>
      <c r="P496">
        <v>1</v>
      </c>
      <c r="Q496">
        <v>0</v>
      </c>
      <c r="R496">
        <v>0</v>
      </c>
      <c r="S496">
        <v>0</v>
      </c>
      <c r="T496">
        <v>0</v>
      </c>
      <c r="U496">
        <v>0</v>
      </c>
      <c r="V496">
        <v>16.899999999999999</v>
      </c>
      <c r="W496">
        <v>0</v>
      </c>
      <c r="X496">
        <v>0</v>
      </c>
      <c r="Y496">
        <v>0</v>
      </c>
      <c r="Z496">
        <v>0</v>
      </c>
      <c r="AA496">
        <v>0</v>
      </c>
      <c r="AB496">
        <v>3.38</v>
      </c>
    </row>
    <row r="497" spans="1:28" x14ac:dyDescent="0.3">
      <c r="A497" s="1">
        <v>44082</v>
      </c>
      <c r="B497" t="s">
        <v>40</v>
      </c>
      <c r="C497">
        <v>53</v>
      </c>
      <c r="D497">
        <v>132.30000000000001</v>
      </c>
      <c r="E497">
        <v>0</v>
      </c>
      <c r="F497">
        <v>132.30000000000001</v>
      </c>
      <c r="G497">
        <v>1</v>
      </c>
      <c r="H497">
        <v>0</v>
      </c>
      <c r="I497">
        <v>26.46</v>
      </c>
      <c r="J497">
        <v>1.89</v>
      </c>
      <c r="K497">
        <v>49.92</v>
      </c>
      <c r="L497">
        <v>132.30000000000001</v>
      </c>
      <c r="M497">
        <v>1088116</v>
      </c>
      <c r="N497" t="s">
        <v>41</v>
      </c>
      <c r="O497" t="s">
        <v>42</v>
      </c>
      <c r="P497">
        <v>1</v>
      </c>
      <c r="Q497">
        <v>0</v>
      </c>
      <c r="R497">
        <v>0</v>
      </c>
      <c r="S497">
        <v>0</v>
      </c>
      <c r="T497">
        <v>0</v>
      </c>
      <c r="U497">
        <v>0</v>
      </c>
      <c r="V497">
        <v>26.46</v>
      </c>
      <c r="W497">
        <v>0</v>
      </c>
      <c r="X497">
        <v>0</v>
      </c>
      <c r="Y497">
        <v>0</v>
      </c>
      <c r="Z497">
        <v>0</v>
      </c>
      <c r="AA497">
        <v>0</v>
      </c>
      <c r="AB497">
        <v>5.29</v>
      </c>
    </row>
    <row r="498" spans="1:28" x14ac:dyDescent="0.3">
      <c r="A498" s="1">
        <v>44082</v>
      </c>
      <c r="B498" t="s">
        <v>28</v>
      </c>
      <c r="C498">
        <v>113</v>
      </c>
      <c r="D498">
        <v>0</v>
      </c>
      <c r="E498">
        <v>0</v>
      </c>
      <c r="F498">
        <v>0</v>
      </c>
      <c r="G498">
        <v>0</v>
      </c>
      <c r="H498">
        <v>0</v>
      </c>
      <c r="I498">
        <v>0</v>
      </c>
      <c r="J498">
        <v>0</v>
      </c>
      <c r="K498">
        <v>0</v>
      </c>
      <c r="L498">
        <v>0</v>
      </c>
      <c r="M498">
        <v>314743</v>
      </c>
      <c r="N498" t="s">
        <v>29</v>
      </c>
      <c r="O498" t="s">
        <v>30</v>
      </c>
      <c r="P498">
        <v>0</v>
      </c>
      <c r="Q498">
        <v>0</v>
      </c>
      <c r="R498">
        <v>0</v>
      </c>
      <c r="S498">
        <v>0</v>
      </c>
      <c r="T498">
        <v>0</v>
      </c>
      <c r="U498">
        <v>0</v>
      </c>
      <c r="V498">
        <v>0</v>
      </c>
      <c r="W498">
        <v>0</v>
      </c>
      <c r="X498">
        <v>0</v>
      </c>
      <c r="Y498">
        <v>0</v>
      </c>
      <c r="Z498">
        <v>0</v>
      </c>
      <c r="AA498">
        <v>0</v>
      </c>
      <c r="AB498">
        <v>0</v>
      </c>
    </row>
    <row r="499" spans="1:28" x14ac:dyDescent="0.3">
      <c r="A499" s="1">
        <v>44082</v>
      </c>
      <c r="B499" t="s">
        <v>49</v>
      </c>
      <c r="C499">
        <v>53</v>
      </c>
      <c r="D499">
        <v>0</v>
      </c>
      <c r="E499">
        <v>0</v>
      </c>
      <c r="F499">
        <v>0</v>
      </c>
      <c r="G499">
        <v>0</v>
      </c>
      <c r="H499">
        <v>0</v>
      </c>
      <c r="I499">
        <v>0</v>
      </c>
      <c r="J499">
        <v>0</v>
      </c>
      <c r="K499">
        <v>0</v>
      </c>
      <c r="L499">
        <v>0</v>
      </c>
      <c r="M499">
        <v>725033</v>
      </c>
      <c r="N499" t="s">
        <v>50</v>
      </c>
      <c r="O499" t="s">
        <v>51</v>
      </c>
      <c r="P499">
        <v>0</v>
      </c>
      <c r="Q499">
        <v>0</v>
      </c>
      <c r="R499">
        <v>0</v>
      </c>
      <c r="S499">
        <v>0</v>
      </c>
      <c r="T499">
        <v>0</v>
      </c>
      <c r="U499">
        <v>0</v>
      </c>
      <c r="V499">
        <v>0</v>
      </c>
      <c r="W499">
        <v>0</v>
      </c>
      <c r="X499">
        <v>0</v>
      </c>
      <c r="Y499">
        <v>0</v>
      </c>
      <c r="Z499">
        <v>0</v>
      </c>
      <c r="AA499">
        <v>0</v>
      </c>
      <c r="AB499">
        <v>0</v>
      </c>
    </row>
    <row r="500" spans="1:28" x14ac:dyDescent="0.3">
      <c r="A500" s="1">
        <v>44082</v>
      </c>
      <c r="B500" t="s">
        <v>52</v>
      </c>
      <c r="C500">
        <v>41</v>
      </c>
      <c r="D500">
        <v>0</v>
      </c>
      <c r="E500">
        <v>0</v>
      </c>
      <c r="F500">
        <v>0</v>
      </c>
      <c r="G500">
        <v>0</v>
      </c>
      <c r="H500">
        <v>0</v>
      </c>
      <c r="I500">
        <v>0</v>
      </c>
      <c r="J500">
        <v>0</v>
      </c>
      <c r="K500">
        <v>0</v>
      </c>
      <c r="L500">
        <v>0</v>
      </c>
      <c r="M500">
        <v>1584217</v>
      </c>
      <c r="N500" t="s">
        <v>53</v>
      </c>
      <c r="O500" t="s">
        <v>54</v>
      </c>
      <c r="P500">
        <v>0</v>
      </c>
      <c r="Q500">
        <v>0</v>
      </c>
      <c r="R500">
        <v>0</v>
      </c>
      <c r="S500">
        <v>0</v>
      </c>
      <c r="T500">
        <v>0</v>
      </c>
      <c r="U500">
        <v>0</v>
      </c>
      <c r="V500">
        <v>0</v>
      </c>
      <c r="W500">
        <v>0</v>
      </c>
      <c r="X500">
        <v>0</v>
      </c>
      <c r="Y500">
        <v>0</v>
      </c>
      <c r="Z500">
        <v>0</v>
      </c>
      <c r="AA500">
        <v>0</v>
      </c>
      <c r="AB500">
        <v>0</v>
      </c>
    </row>
    <row r="501" spans="1:28" x14ac:dyDescent="0.3">
      <c r="A501" s="1">
        <v>44082</v>
      </c>
      <c r="B501" t="s">
        <v>37</v>
      </c>
      <c r="C501">
        <v>32</v>
      </c>
      <c r="D501">
        <v>0</v>
      </c>
      <c r="E501">
        <v>0</v>
      </c>
      <c r="F501">
        <v>0</v>
      </c>
      <c r="G501">
        <v>0</v>
      </c>
      <c r="H501">
        <v>0</v>
      </c>
      <c r="I501">
        <v>0</v>
      </c>
      <c r="J501">
        <v>0</v>
      </c>
      <c r="K501">
        <v>0</v>
      </c>
      <c r="L501">
        <v>0</v>
      </c>
      <c r="M501">
        <v>201285</v>
      </c>
      <c r="N501" t="s">
        <v>38</v>
      </c>
      <c r="O501" t="s">
        <v>39</v>
      </c>
      <c r="P501">
        <v>0</v>
      </c>
      <c r="Q501">
        <v>0</v>
      </c>
      <c r="R501">
        <v>0</v>
      </c>
      <c r="S501">
        <v>0</v>
      </c>
      <c r="T501">
        <v>0</v>
      </c>
      <c r="U501">
        <v>0</v>
      </c>
      <c r="V501">
        <v>0</v>
      </c>
      <c r="W501">
        <v>0</v>
      </c>
      <c r="X501">
        <v>0</v>
      </c>
      <c r="Y501">
        <v>0</v>
      </c>
      <c r="Z501">
        <v>0</v>
      </c>
      <c r="AA501">
        <v>0</v>
      </c>
      <c r="AB501">
        <v>0</v>
      </c>
    </row>
    <row r="502" spans="1:28" x14ac:dyDescent="0.3">
      <c r="A502" s="1">
        <v>44082</v>
      </c>
      <c r="B502" t="s">
        <v>55</v>
      </c>
      <c r="C502">
        <v>21</v>
      </c>
      <c r="D502">
        <v>0</v>
      </c>
      <c r="E502">
        <v>0</v>
      </c>
      <c r="F502">
        <v>0</v>
      </c>
      <c r="G502">
        <v>0</v>
      </c>
      <c r="H502">
        <v>0</v>
      </c>
      <c r="I502">
        <v>0</v>
      </c>
      <c r="J502">
        <v>0</v>
      </c>
      <c r="K502">
        <v>0</v>
      </c>
      <c r="L502">
        <v>0</v>
      </c>
      <c r="M502">
        <v>1773960</v>
      </c>
      <c r="N502" t="s">
        <v>35</v>
      </c>
      <c r="O502" t="s">
        <v>56</v>
      </c>
      <c r="P502">
        <v>0</v>
      </c>
      <c r="Q502">
        <v>0</v>
      </c>
      <c r="R502">
        <v>0</v>
      </c>
      <c r="S502">
        <v>0</v>
      </c>
      <c r="T502">
        <v>0</v>
      </c>
      <c r="U502">
        <v>0</v>
      </c>
      <c r="V502">
        <v>0</v>
      </c>
      <c r="W502">
        <v>0</v>
      </c>
      <c r="X502">
        <v>0</v>
      </c>
      <c r="Y502">
        <v>0</v>
      </c>
      <c r="Z502">
        <v>0</v>
      </c>
      <c r="AA502">
        <v>0</v>
      </c>
      <c r="AB502">
        <v>0</v>
      </c>
    </row>
    <row r="503" spans="1:28" x14ac:dyDescent="0.3">
      <c r="A503" s="1">
        <v>44082</v>
      </c>
      <c r="B503" t="s">
        <v>57</v>
      </c>
      <c r="C503">
        <v>12</v>
      </c>
      <c r="D503">
        <v>0</v>
      </c>
      <c r="E503">
        <v>0</v>
      </c>
      <c r="F503">
        <v>0</v>
      </c>
      <c r="G503">
        <v>0</v>
      </c>
      <c r="H503">
        <v>0</v>
      </c>
      <c r="I503">
        <v>0</v>
      </c>
      <c r="J503">
        <v>0</v>
      </c>
      <c r="K503">
        <v>0</v>
      </c>
      <c r="L503">
        <v>0</v>
      </c>
      <c r="M503">
        <v>2053730</v>
      </c>
      <c r="N503" t="s">
        <v>58</v>
      </c>
      <c r="O503" t="s">
        <v>59</v>
      </c>
      <c r="P503">
        <v>0</v>
      </c>
      <c r="Q503">
        <v>0</v>
      </c>
      <c r="R503">
        <v>0</v>
      </c>
      <c r="S503">
        <v>0</v>
      </c>
      <c r="T503">
        <v>0</v>
      </c>
      <c r="U503">
        <v>0</v>
      </c>
      <c r="V503">
        <v>0</v>
      </c>
      <c r="W503">
        <v>0</v>
      </c>
      <c r="X503">
        <v>0</v>
      </c>
      <c r="Y503">
        <v>0</v>
      </c>
      <c r="Z503">
        <v>0</v>
      </c>
      <c r="AA503">
        <v>0</v>
      </c>
      <c r="AB503">
        <v>0</v>
      </c>
    </row>
    <row r="504" spans="1:28" x14ac:dyDescent="0.3">
      <c r="A504" s="1">
        <v>44082</v>
      </c>
      <c r="B504" t="s">
        <v>43</v>
      </c>
      <c r="C504">
        <v>11</v>
      </c>
      <c r="D504">
        <v>0</v>
      </c>
      <c r="E504">
        <v>0</v>
      </c>
      <c r="F504">
        <v>0</v>
      </c>
      <c r="G504">
        <v>0</v>
      </c>
      <c r="H504">
        <v>0</v>
      </c>
      <c r="I504">
        <v>0</v>
      </c>
      <c r="J504">
        <v>0</v>
      </c>
      <c r="K504">
        <v>0</v>
      </c>
      <c r="L504">
        <v>0</v>
      </c>
      <c r="M504">
        <v>389818</v>
      </c>
      <c r="N504" t="s">
        <v>44</v>
      </c>
      <c r="O504" t="s">
        <v>45</v>
      </c>
      <c r="P504">
        <v>0</v>
      </c>
      <c r="Q504">
        <v>0</v>
      </c>
      <c r="R504">
        <v>0</v>
      </c>
      <c r="S504">
        <v>0</v>
      </c>
      <c r="T504">
        <v>0</v>
      </c>
      <c r="U504">
        <v>0</v>
      </c>
      <c r="V504">
        <v>0</v>
      </c>
      <c r="W504">
        <v>0</v>
      </c>
      <c r="X504">
        <v>0</v>
      </c>
      <c r="Y504">
        <v>0</v>
      </c>
      <c r="Z504">
        <v>0</v>
      </c>
      <c r="AA504">
        <v>0</v>
      </c>
      <c r="AB504">
        <v>0</v>
      </c>
    </row>
    <row r="505" spans="1:28" x14ac:dyDescent="0.3">
      <c r="A505" s="1">
        <v>44082</v>
      </c>
      <c r="B505" t="s">
        <v>69</v>
      </c>
      <c r="C505">
        <v>10</v>
      </c>
      <c r="D505">
        <v>0</v>
      </c>
      <c r="E505">
        <v>0</v>
      </c>
      <c r="F505">
        <v>0</v>
      </c>
      <c r="G505">
        <v>0</v>
      </c>
      <c r="H505">
        <v>0</v>
      </c>
      <c r="I505">
        <v>0</v>
      </c>
      <c r="J505">
        <v>0</v>
      </c>
      <c r="K505">
        <v>0</v>
      </c>
      <c r="L505">
        <v>0</v>
      </c>
      <c r="M505">
        <v>1772040</v>
      </c>
      <c r="N505" t="s">
        <v>70</v>
      </c>
      <c r="O505" t="s">
        <v>71</v>
      </c>
      <c r="P505">
        <v>0</v>
      </c>
      <c r="Q505">
        <v>0</v>
      </c>
      <c r="R505">
        <v>0</v>
      </c>
      <c r="S505">
        <v>0</v>
      </c>
      <c r="T505">
        <v>0</v>
      </c>
      <c r="U505">
        <v>0</v>
      </c>
      <c r="V505">
        <v>0</v>
      </c>
      <c r="W505">
        <v>0</v>
      </c>
      <c r="X505">
        <v>0</v>
      </c>
      <c r="Y505">
        <v>0</v>
      </c>
      <c r="Z505">
        <v>0</v>
      </c>
      <c r="AA505">
        <v>0</v>
      </c>
      <c r="AB505">
        <v>0</v>
      </c>
    </row>
    <row r="506" spans="1:28" x14ac:dyDescent="0.3">
      <c r="A506" s="1">
        <v>44082</v>
      </c>
      <c r="B506" t="s">
        <v>60</v>
      </c>
      <c r="C506">
        <v>7</v>
      </c>
      <c r="D506">
        <v>0</v>
      </c>
      <c r="E506">
        <v>0</v>
      </c>
      <c r="F506">
        <v>0</v>
      </c>
      <c r="G506">
        <v>0</v>
      </c>
      <c r="H506">
        <v>0</v>
      </c>
      <c r="I506">
        <v>0</v>
      </c>
      <c r="J506">
        <v>0</v>
      </c>
      <c r="K506">
        <v>0</v>
      </c>
      <c r="L506">
        <v>0</v>
      </c>
      <c r="M506">
        <v>748814</v>
      </c>
      <c r="N506" t="s">
        <v>61</v>
      </c>
      <c r="O506" t="s">
        <v>62</v>
      </c>
      <c r="P506">
        <v>0</v>
      </c>
      <c r="Q506">
        <v>0</v>
      </c>
      <c r="R506">
        <v>0</v>
      </c>
      <c r="S506">
        <v>0</v>
      </c>
      <c r="T506">
        <v>0</v>
      </c>
      <c r="U506">
        <v>0</v>
      </c>
      <c r="V506">
        <v>0</v>
      </c>
      <c r="W506">
        <v>0</v>
      </c>
      <c r="X506">
        <v>0</v>
      </c>
      <c r="Y506">
        <v>0</v>
      </c>
      <c r="Z506">
        <v>0</v>
      </c>
      <c r="AA506">
        <v>0</v>
      </c>
      <c r="AB506">
        <v>0</v>
      </c>
    </row>
    <row r="507" spans="1:28" x14ac:dyDescent="0.3">
      <c r="A507" s="1">
        <v>44082</v>
      </c>
      <c r="B507" t="s">
        <v>34</v>
      </c>
      <c r="C507">
        <v>7</v>
      </c>
      <c r="D507">
        <v>0</v>
      </c>
      <c r="E507">
        <v>0</v>
      </c>
      <c r="F507">
        <v>0</v>
      </c>
      <c r="G507">
        <v>0</v>
      </c>
      <c r="H507">
        <v>0</v>
      </c>
      <c r="I507">
        <v>0</v>
      </c>
      <c r="J507">
        <v>0</v>
      </c>
      <c r="K507">
        <v>0</v>
      </c>
      <c r="L507">
        <v>0</v>
      </c>
      <c r="M507">
        <v>2284878</v>
      </c>
      <c r="N507" t="s">
        <v>35</v>
      </c>
      <c r="O507" t="s">
        <v>36</v>
      </c>
      <c r="P507">
        <v>0</v>
      </c>
      <c r="Q507">
        <v>0</v>
      </c>
      <c r="R507">
        <v>0</v>
      </c>
      <c r="S507">
        <v>0</v>
      </c>
      <c r="T507">
        <v>0</v>
      </c>
      <c r="U507">
        <v>0</v>
      </c>
      <c r="V507">
        <v>0</v>
      </c>
      <c r="W507">
        <v>0</v>
      </c>
      <c r="X507">
        <v>0</v>
      </c>
      <c r="Y507">
        <v>0</v>
      </c>
      <c r="Z507">
        <v>0</v>
      </c>
      <c r="AA507">
        <v>0</v>
      </c>
      <c r="AB507">
        <v>0</v>
      </c>
    </row>
    <row r="508" spans="1:28" x14ac:dyDescent="0.3">
      <c r="A508" s="1">
        <v>44082</v>
      </c>
      <c r="B508" t="s">
        <v>102</v>
      </c>
      <c r="C508">
        <v>6</v>
      </c>
      <c r="D508">
        <v>0</v>
      </c>
      <c r="E508">
        <v>0</v>
      </c>
      <c r="F508">
        <v>0</v>
      </c>
      <c r="G508">
        <v>0</v>
      </c>
      <c r="H508">
        <v>0</v>
      </c>
      <c r="I508">
        <v>0</v>
      </c>
      <c r="J508">
        <v>0</v>
      </c>
      <c r="K508">
        <v>0</v>
      </c>
      <c r="L508">
        <v>0</v>
      </c>
      <c r="M508">
        <v>742098</v>
      </c>
      <c r="N508" t="s">
        <v>103</v>
      </c>
      <c r="O508" t="s">
        <v>104</v>
      </c>
      <c r="P508">
        <v>0</v>
      </c>
      <c r="Q508">
        <v>0</v>
      </c>
      <c r="R508">
        <v>0</v>
      </c>
      <c r="S508">
        <v>0</v>
      </c>
      <c r="T508">
        <v>0</v>
      </c>
      <c r="U508">
        <v>0</v>
      </c>
      <c r="V508">
        <v>0</v>
      </c>
      <c r="W508">
        <v>0</v>
      </c>
      <c r="X508">
        <v>0</v>
      </c>
      <c r="Y508">
        <v>0</v>
      </c>
      <c r="Z508">
        <v>0</v>
      </c>
      <c r="AA508">
        <v>0</v>
      </c>
      <c r="AB508">
        <v>0</v>
      </c>
    </row>
    <row r="509" spans="1:28" x14ac:dyDescent="0.3">
      <c r="A509" s="1">
        <v>44082</v>
      </c>
      <c r="B509" t="s">
        <v>93</v>
      </c>
      <c r="C509">
        <v>5</v>
      </c>
      <c r="D509">
        <v>0</v>
      </c>
      <c r="E509">
        <v>0</v>
      </c>
      <c r="F509">
        <v>0</v>
      </c>
      <c r="G509">
        <v>0</v>
      </c>
      <c r="H509">
        <v>0</v>
      </c>
      <c r="I509">
        <v>0</v>
      </c>
      <c r="J509">
        <v>0</v>
      </c>
      <c r="K509">
        <v>0</v>
      </c>
      <c r="L509">
        <v>0</v>
      </c>
      <c r="M509">
        <v>1238556</v>
      </c>
      <c r="N509" t="s">
        <v>94</v>
      </c>
      <c r="O509" t="s">
        <v>95</v>
      </c>
      <c r="P509">
        <v>0</v>
      </c>
      <c r="Q509">
        <v>0</v>
      </c>
      <c r="R509">
        <v>0</v>
      </c>
      <c r="S509">
        <v>0</v>
      </c>
      <c r="T509">
        <v>0</v>
      </c>
      <c r="U509">
        <v>0</v>
      </c>
      <c r="V509">
        <v>0</v>
      </c>
      <c r="W509">
        <v>0</v>
      </c>
      <c r="X509">
        <v>0</v>
      </c>
      <c r="Y509">
        <v>0</v>
      </c>
      <c r="Z509">
        <v>0</v>
      </c>
      <c r="AA509">
        <v>0</v>
      </c>
      <c r="AB509">
        <v>0</v>
      </c>
    </row>
    <row r="510" spans="1:28" x14ac:dyDescent="0.3">
      <c r="A510" s="1">
        <v>44082</v>
      </c>
      <c r="B510" t="s">
        <v>138</v>
      </c>
      <c r="C510">
        <v>5</v>
      </c>
      <c r="D510">
        <v>0</v>
      </c>
      <c r="E510">
        <v>0</v>
      </c>
      <c r="F510">
        <v>0</v>
      </c>
      <c r="G510">
        <v>0</v>
      </c>
      <c r="H510">
        <v>0</v>
      </c>
      <c r="I510">
        <v>0</v>
      </c>
      <c r="J510">
        <v>0</v>
      </c>
      <c r="K510">
        <v>0</v>
      </c>
      <c r="L510">
        <v>0</v>
      </c>
      <c r="M510">
        <v>1578665</v>
      </c>
      <c r="N510" t="s">
        <v>139</v>
      </c>
      <c r="O510" t="s">
        <v>140</v>
      </c>
      <c r="P510">
        <v>0</v>
      </c>
      <c r="Q510">
        <v>0</v>
      </c>
      <c r="R510">
        <v>0</v>
      </c>
      <c r="S510">
        <v>0</v>
      </c>
      <c r="T510">
        <v>0</v>
      </c>
      <c r="U510">
        <v>0</v>
      </c>
      <c r="V510">
        <v>0</v>
      </c>
      <c r="W510">
        <v>0</v>
      </c>
      <c r="X510">
        <v>0</v>
      </c>
      <c r="Y510">
        <v>0</v>
      </c>
      <c r="Z510">
        <v>0</v>
      </c>
      <c r="AA510">
        <v>0</v>
      </c>
      <c r="AB510">
        <v>0</v>
      </c>
    </row>
    <row r="511" spans="1:28" x14ac:dyDescent="0.3">
      <c r="A511" s="1">
        <v>44082</v>
      </c>
      <c r="B511" t="s">
        <v>63</v>
      </c>
      <c r="C511">
        <v>4</v>
      </c>
      <c r="D511">
        <v>0</v>
      </c>
      <c r="E511">
        <v>0</v>
      </c>
      <c r="F511">
        <v>0</v>
      </c>
      <c r="G511">
        <v>0</v>
      </c>
      <c r="H511">
        <v>0</v>
      </c>
      <c r="I511">
        <v>0</v>
      </c>
      <c r="J511">
        <v>0</v>
      </c>
      <c r="K511">
        <v>0</v>
      </c>
      <c r="L511">
        <v>0</v>
      </c>
      <c r="M511">
        <v>140995</v>
      </c>
      <c r="N511" t="s">
        <v>64</v>
      </c>
      <c r="O511" t="s">
        <v>65</v>
      </c>
      <c r="P511">
        <v>0</v>
      </c>
      <c r="Q511">
        <v>0</v>
      </c>
      <c r="R511">
        <v>0</v>
      </c>
      <c r="S511">
        <v>0</v>
      </c>
      <c r="T511">
        <v>0</v>
      </c>
      <c r="U511">
        <v>0</v>
      </c>
      <c r="V511">
        <v>0</v>
      </c>
      <c r="W511">
        <v>0</v>
      </c>
      <c r="X511">
        <v>0</v>
      </c>
      <c r="Y511">
        <v>0</v>
      </c>
      <c r="Z511">
        <v>0</v>
      </c>
      <c r="AA511">
        <v>0</v>
      </c>
      <c r="AB511">
        <v>0</v>
      </c>
    </row>
    <row r="512" spans="1:28" x14ac:dyDescent="0.3">
      <c r="A512" s="1">
        <v>44082</v>
      </c>
      <c r="B512" t="s">
        <v>99</v>
      </c>
      <c r="C512">
        <v>4</v>
      </c>
      <c r="D512">
        <v>0</v>
      </c>
      <c r="E512">
        <v>0</v>
      </c>
      <c r="F512">
        <v>0</v>
      </c>
      <c r="G512">
        <v>0</v>
      </c>
      <c r="H512">
        <v>0</v>
      </c>
      <c r="I512">
        <v>0</v>
      </c>
      <c r="J512">
        <v>0</v>
      </c>
      <c r="K512">
        <v>0</v>
      </c>
      <c r="L512">
        <v>0</v>
      </c>
      <c r="M512">
        <v>193744</v>
      </c>
      <c r="N512" t="s">
        <v>100</v>
      </c>
      <c r="O512" t="s">
        <v>101</v>
      </c>
      <c r="P512">
        <v>0</v>
      </c>
      <c r="Q512">
        <v>0</v>
      </c>
      <c r="R512">
        <v>0</v>
      </c>
      <c r="S512">
        <v>0</v>
      </c>
      <c r="T512">
        <v>0</v>
      </c>
      <c r="U512">
        <v>0</v>
      </c>
      <c r="V512">
        <v>0</v>
      </c>
      <c r="W512">
        <v>0</v>
      </c>
      <c r="X512">
        <v>0</v>
      </c>
      <c r="Y512">
        <v>0</v>
      </c>
      <c r="Z512">
        <v>0</v>
      </c>
      <c r="AA512">
        <v>0</v>
      </c>
      <c r="AB512">
        <v>0</v>
      </c>
    </row>
    <row r="513" spans="1:28" x14ac:dyDescent="0.3">
      <c r="A513" s="1">
        <v>44082</v>
      </c>
      <c r="B513" t="s">
        <v>75</v>
      </c>
      <c r="C513">
        <v>4</v>
      </c>
      <c r="D513">
        <v>0</v>
      </c>
      <c r="E513">
        <v>0</v>
      </c>
      <c r="F513">
        <v>0</v>
      </c>
      <c r="G513">
        <v>0</v>
      </c>
      <c r="H513">
        <v>0</v>
      </c>
      <c r="I513">
        <v>0</v>
      </c>
      <c r="J513">
        <v>0</v>
      </c>
      <c r="K513">
        <v>0</v>
      </c>
      <c r="L513">
        <v>0</v>
      </c>
      <c r="M513">
        <v>745788</v>
      </c>
      <c r="N513" t="s">
        <v>76</v>
      </c>
      <c r="O513" t="s">
        <v>77</v>
      </c>
      <c r="P513">
        <v>0</v>
      </c>
      <c r="Q513">
        <v>0</v>
      </c>
      <c r="R513">
        <v>0</v>
      </c>
      <c r="S513">
        <v>0</v>
      </c>
      <c r="T513">
        <v>0</v>
      </c>
      <c r="U513">
        <v>0</v>
      </c>
      <c r="V513">
        <v>0</v>
      </c>
      <c r="W513">
        <v>0</v>
      </c>
      <c r="X513">
        <v>0</v>
      </c>
      <c r="Y513">
        <v>0</v>
      </c>
      <c r="Z513">
        <v>0</v>
      </c>
      <c r="AA513">
        <v>0</v>
      </c>
      <c r="AB513">
        <v>0</v>
      </c>
    </row>
    <row r="514" spans="1:28" x14ac:dyDescent="0.3">
      <c r="A514" s="1">
        <v>44082</v>
      </c>
      <c r="B514" t="s">
        <v>78</v>
      </c>
      <c r="C514">
        <v>3</v>
      </c>
      <c r="D514">
        <v>0</v>
      </c>
      <c r="E514">
        <v>0</v>
      </c>
      <c r="F514">
        <v>0</v>
      </c>
      <c r="G514">
        <v>0</v>
      </c>
      <c r="H514">
        <v>0</v>
      </c>
      <c r="I514">
        <v>0</v>
      </c>
      <c r="J514">
        <v>0</v>
      </c>
      <c r="K514">
        <v>0</v>
      </c>
      <c r="L514">
        <v>0</v>
      </c>
      <c r="M514">
        <v>1014069</v>
      </c>
      <c r="N514" t="s">
        <v>79</v>
      </c>
      <c r="O514" t="s">
        <v>80</v>
      </c>
      <c r="P514">
        <v>0</v>
      </c>
      <c r="Q514">
        <v>0</v>
      </c>
      <c r="R514">
        <v>0</v>
      </c>
      <c r="S514">
        <v>0</v>
      </c>
      <c r="T514">
        <v>0</v>
      </c>
      <c r="U514">
        <v>0</v>
      </c>
      <c r="V514">
        <v>0</v>
      </c>
      <c r="W514">
        <v>0</v>
      </c>
      <c r="X514">
        <v>0</v>
      </c>
      <c r="Y514">
        <v>0</v>
      </c>
      <c r="Z514">
        <v>0</v>
      </c>
      <c r="AA514">
        <v>0</v>
      </c>
      <c r="AB514">
        <v>0</v>
      </c>
    </row>
    <row r="515" spans="1:28" x14ac:dyDescent="0.3">
      <c r="A515" s="1">
        <v>44082</v>
      </c>
      <c r="B515" t="s">
        <v>81</v>
      </c>
      <c r="C515">
        <v>3</v>
      </c>
      <c r="D515">
        <v>0</v>
      </c>
      <c r="E515">
        <v>0</v>
      </c>
      <c r="F515">
        <v>0</v>
      </c>
      <c r="G515">
        <v>0</v>
      </c>
      <c r="H515">
        <v>0</v>
      </c>
      <c r="I515">
        <v>0</v>
      </c>
      <c r="J515">
        <v>0</v>
      </c>
      <c r="K515">
        <v>0</v>
      </c>
      <c r="L515">
        <v>0</v>
      </c>
      <c r="M515">
        <v>1225169</v>
      </c>
      <c r="N515" t="s">
        <v>82</v>
      </c>
      <c r="O515" t="s">
        <v>83</v>
      </c>
      <c r="P515">
        <v>0</v>
      </c>
      <c r="Q515">
        <v>0</v>
      </c>
      <c r="R515">
        <v>0</v>
      </c>
      <c r="S515">
        <v>0</v>
      </c>
      <c r="T515">
        <v>0</v>
      </c>
      <c r="U515">
        <v>0</v>
      </c>
      <c r="V515">
        <v>0</v>
      </c>
      <c r="W515">
        <v>0</v>
      </c>
      <c r="X515">
        <v>0</v>
      </c>
      <c r="Y515">
        <v>0</v>
      </c>
      <c r="Z515">
        <v>0</v>
      </c>
      <c r="AA515">
        <v>0</v>
      </c>
      <c r="AB515">
        <v>0</v>
      </c>
    </row>
    <row r="516" spans="1:28" x14ac:dyDescent="0.3">
      <c r="A516" s="1">
        <v>44082</v>
      </c>
      <c r="B516" t="s">
        <v>84</v>
      </c>
      <c r="C516">
        <v>3</v>
      </c>
      <c r="D516">
        <v>0</v>
      </c>
      <c r="E516">
        <v>0</v>
      </c>
      <c r="F516">
        <v>0</v>
      </c>
      <c r="G516">
        <v>0</v>
      </c>
      <c r="H516">
        <v>0</v>
      </c>
      <c r="I516">
        <v>0</v>
      </c>
      <c r="J516">
        <v>0</v>
      </c>
      <c r="K516">
        <v>0</v>
      </c>
      <c r="L516">
        <v>0</v>
      </c>
      <c r="M516">
        <v>1242889</v>
      </c>
      <c r="N516" t="s">
        <v>85</v>
      </c>
      <c r="O516" t="s">
        <v>86</v>
      </c>
      <c r="P516">
        <v>0</v>
      </c>
      <c r="Q516">
        <v>0</v>
      </c>
      <c r="R516">
        <v>0</v>
      </c>
      <c r="S516">
        <v>0</v>
      </c>
      <c r="T516">
        <v>0</v>
      </c>
      <c r="U516">
        <v>0</v>
      </c>
      <c r="V516">
        <v>0</v>
      </c>
      <c r="W516">
        <v>0</v>
      </c>
      <c r="X516">
        <v>0</v>
      </c>
      <c r="Y516">
        <v>0</v>
      </c>
      <c r="Z516">
        <v>0</v>
      </c>
      <c r="AA516">
        <v>0</v>
      </c>
      <c r="AB516">
        <v>0</v>
      </c>
    </row>
    <row r="517" spans="1:28" x14ac:dyDescent="0.3">
      <c r="A517" s="1">
        <v>44082</v>
      </c>
      <c r="B517" t="s">
        <v>66</v>
      </c>
      <c r="C517">
        <v>3</v>
      </c>
      <c r="D517">
        <v>0</v>
      </c>
      <c r="E517">
        <v>0</v>
      </c>
      <c r="F517">
        <v>0</v>
      </c>
      <c r="G517">
        <v>0</v>
      </c>
      <c r="H517">
        <v>0</v>
      </c>
      <c r="I517">
        <v>0</v>
      </c>
      <c r="J517">
        <v>0</v>
      </c>
      <c r="K517">
        <v>0</v>
      </c>
      <c r="L517">
        <v>0</v>
      </c>
      <c r="M517">
        <v>1413766</v>
      </c>
      <c r="N517" t="s">
        <v>67</v>
      </c>
      <c r="O517" t="s">
        <v>68</v>
      </c>
      <c r="P517">
        <v>0</v>
      </c>
      <c r="Q517">
        <v>0</v>
      </c>
      <c r="R517">
        <v>0</v>
      </c>
      <c r="S517">
        <v>0</v>
      </c>
      <c r="T517">
        <v>0</v>
      </c>
      <c r="U517">
        <v>0</v>
      </c>
      <c r="V517">
        <v>0</v>
      </c>
      <c r="W517">
        <v>0</v>
      </c>
      <c r="X517">
        <v>0</v>
      </c>
      <c r="Y517">
        <v>0</v>
      </c>
      <c r="Z517">
        <v>0</v>
      </c>
      <c r="AA517">
        <v>0</v>
      </c>
      <c r="AB517">
        <v>0</v>
      </c>
    </row>
    <row r="518" spans="1:28" x14ac:dyDescent="0.3">
      <c r="A518" s="1">
        <v>44082</v>
      </c>
      <c r="B518" t="s">
        <v>87</v>
      </c>
      <c r="C518">
        <v>3</v>
      </c>
      <c r="D518">
        <v>0</v>
      </c>
      <c r="E518">
        <v>0</v>
      </c>
      <c r="F518">
        <v>0</v>
      </c>
      <c r="G518">
        <v>0</v>
      </c>
      <c r="H518">
        <v>0</v>
      </c>
      <c r="I518">
        <v>0</v>
      </c>
      <c r="J518">
        <v>0</v>
      </c>
      <c r="K518">
        <v>0</v>
      </c>
      <c r="L518">
        <v>0</v>
      </c>
      <c r="M518">
        <v>1519404</v>
      </c>
      <c r="N518" t="s">
        <v>88</v>
      </c>
      <c r="O518" t="s">
        <v>89</v>
      </c>
      <c r="P518">
        <v>0</v>
      </c>
      <c r="Q518">
        <v>0</v>
      </c>
      <c r="R518">
        <v>0</v>
      </c>
      <c r="S518">
        <v>0</v>
      </c>
      <c r="T518">
        <v>0</v>
      </c>
      <c r="U518">
        <v>0</v>
      </c>
      <c r="V518">
        <v>0</v>
      </c>
      <c r="W518">
        <v>0</v>
      </c>
      <c r="X518">
        <v>0</v>
      </c>
      <c r="Y518">
        <v>0</v>
      </c>
      <c r="Z518">
        <v>0</v>
      </c>
      <c r="AA518">
        <v>0</v>
      </c>
      <c r="AB518">
        <v>0</v>
      </c>
    </row>
    <row r="519" spans="1:28" x14ac:dyDescent="0.3">
      <c r="A519" s="1">
        <v>44082</v>
      </c>
      <c r="B519" t="s">
        <v>153</v>
      </c>
      <c r="C519">
        <v>3</v>
      </c>
      <c r="D519">
        <v>0</v>
      </c>
      <c r="E519">
        <v>0</v>
      </c>
      <c r="F519">
        <v>0</v>
      </c>
      <c r="G519">
        <v>0</v>
      </c>
      <c r="H519">
        <v>0</v>
      </c>
      <c r="I519">
        <v>0</v>
      </c>
      <c r="J519">
        <v>0</v>
      </c>
      <c r="K519">
        <v>0</v>
      </c>
      <c r="L519">
        <v>0</v>
      </c>
      <c r="M519">
        <v>2371233</v>
      </c>
      <c r="N519" t="s">
        <v>154</v>
      </c>
      <c r="O519" t="s">
        <v>155</v>
      </c>
      <c r="P519">
        <v>0</v>
      </c>
      <c r="Q519">
        <v>0</v>
      </c>
      <c r="R519">
        <v>0</v>
      </c>
      <c r="S519">
        <v>0</v>
      </c>
      <c r="T519">
        <v>0</v>
      </c>
      <c r="U519">
        <v>0</v>
      </c>
      <c r="V519">
        <v>0</v>
      </c>
      <c r="W519">
        <v>0</v>
      </c>
      <c r="X519">
        <v>0</v>
      </c>
      <c r="Y519">
        <v>0</v>
      </c>
      <c r="Z519">
        <v>0</v>
      </c>
      <c r="AA519">
        <v>0</v>
      </c>
      <c r="AB519">
        <v>0</v>
      </c>
    </row>
    <row r="520" spans="1:28" x14ac:dyDescent="0.3">
      <c r="A520" s="1">
        <v>44082</v>
      </c>
      <c r="B520" t="s">
        <v>120</v>
      </c>
      <c r="C520">
        <v>1</v>
      </c>
      <c r="D520">
        <v>0</v>
      </c>
      <c r="E520">
        <v>0</v>
      </c>
      <c r="F520">
        <v>0</v>
      </c>
      <c r="G520">
        <v>0</v>
      </c>
      <c r="H520">
        <v>0</v>
      </c>
      <c r="I520">
        <v>0</v>
      </c>
      <c r="J520">
        <v>0</v>
      </c>
      <c r="K520">
        <v>0</v>
      </c>
      <c r="L520">
        <v>0</v>
      </c>
      <c r="M520">
        <v>154911</v>
      </c>
      <c r="N520" t="s">
        <v>121</v>
      </c>
      <c r="O520" t="s">
        <v>122</v>
      </c>
      <c r="P520">
        <v>0</v>
      </c>
      <c r="Q520">
        <v>0</v>
      </c>
      <c r="R520">
        <v>0</v>
      </c>
      <c r="S520">
        <v>0</v>
      </c>
      <c r="T520">
        <v>0</v>
      </c>
      <c r="U520">
        <v>0</v>
      </c>
      <c r="V520">
        <v>0</v>
      </c>
      <c r="W520">
        <v>0</v>
      </c>
      <c r="X520">
        <v>0</v>
      </c>
      <c r="Y520">
        <v>0</v>
      </c>
      <c r="Z520">
        <v>0</v>
      </c>
      <c r="AA520">
        <v>0</v>
      </c>
      <c r="AB520">
        <v>0</v>
      </c>
    </row>
    <row r="521" spans="1:28" x14ac:dyDescent="0.3">
      <c r="A521" s="1">
        <v>44082</v>
      </c>
      <c r="B521" t="s">
        <v>126</v>
      </c>
      <c r="C521">
        <v>1</v>
      </c>
      <c r="D521">
        <v>0</v>
      </c>
      <c r="E521">
        <v>0</v>
      </c>
      <c r="F521">
        <v>0</v>
      </c>
      <c r="G521">
        <v>0</v>
      </c>
      <c r="H521">
        <v>0</v>
      </c>
      <c r="I521">
        <v>0</v>
      </c>
      <c r="J521">
        <v>0</v>
      </c>
      <c r="K521">
        <v>0</v>
      </c>
      <c r="L521">
        <v>0</v>
      </c>
      <c r="M521">
        <v>318676</v>
      </c>
      <c r="N521" t="s">
        <v>127</v>
      </c>
      <c r="O521" t="s">
        <v>128</v>
      </c>
      <c r="P521">
        <v>0</v>
      </c>
      <c r="Q521">
        <v>0</v>
      </c>
      <c r="R521">
        <v>0</v>
      </c>
      <c r="S521">
        <v>0</v>
      </c>
      <c r="T521">
        <v>0</v>
      </c>
      <c r="U521">
        <v>0</v>
      </c>
      <c r="V521">
        <v>0</v>
      </c>
      <c r="W521">
        <v>0</v>
      </c>
      <c r="X521">
        <v>0</v>
      </c>
      <c r="Y521">
        <v>0</v>
      </c>
      <c r="Z521">
        <v>0</v>
      </c>
      <c r="AA521">
        <v>0</v>
      </c>
      <c r="AB521">
        <v>0</v>
      </c>
    </row>
    <row r="522" spans="1:28" x14ac:dyDescent="0.3">
      <c r="A522" s="1">
        <v>44082</v>
      </c>
      <c r="B522" t="s">
        <v>108</v>
      </c>
      <c r="C522">
        <v>1</v>
      </c>
      <c r="D522">
        <v>0</v>
      </c>
      <c r="E522">
        <v>0</v>
      </c>
      <c r="F522">
        <v>0</v>
      </c>
      <c r="G522">
        <v>0</v>
      </c>
      <c r="H522">
        <v>0</v>
      </c>
      <c r="I522">
        <v>0</v>
      </c>
      <c r="J522">
        <v>0</v>
      </c>
      <c r="K522">
        <v>0</v>
      </c>
      <c r="L522">
        <v>0</v>
      </c>
      <c r="M522">
        <v>1273061</v>
      </c>
      <c r="N522" t="s">
        <v>109</v>
      </c>
      <c r="O522" t="s">
        <v>110</v>
      </c>
      <c r="P522">
        <v>0</v>
      </c>
      <c r="Q522">
        <v>0</v>
      </c>
      <c r="R522">
        <v>0</v>
      </c>
      <c r="S522">
        <v>0</v>
      </c>
      <c r="T522">
        <v>0</v>
      </c>
      <c r="U522">
        <v>0</v>
      </c>
      <c r="V522">
        <v>0</v>
      </c>
      <c r="W522">
        <v>0</v>
      </c>
      <c r="X522">
        <v>0</v>
      </c>
      <c r="Y522">
        <v>0</v>
      </c>
      <c r="Z522">
        <v>0</v>
      </c>
      <c r="AA522">
        <v>0</v>
      </c>
      <c r="AB522">
        <v>0</v>
      </c>
    </row>
    <row r="523" spans="1:28" x14ac:dyDescent="0.3">
      <c r="A523" s="1">
        <v>44082</v>
      </c>
      <c r="B523" t="s">
        <v>189</v>
      </c>
      <c r="C523">
        <v>1</v>
      </c>
      <c r="D523">
        <v>0</v>
      </c>
      <c r="E523">
        <v>0</v>
      </c>
      <c r="F523">
        <v>0</v>
      </c>
      <c r="G523">
        <v>0</v>
      </c>
      <c r="H523">
        <v>0</v>
      </c>
      <c r="I523">
        <v>0</v>
      </c>
      <c r="J523">
        <v>0</v>
      </c>
      <c r="K523">
        <v>0</v>
      </c>
      <c r="L523">
        <v>0</v>
      </c>
      <c r="M523">
        <v>1307407</v>
      </c>
      <c r="N523" t="s">
        <v>190</v>
      </c>
      <c r="O523" t="s">
        <v>191</v>
      </c>
      <c r="P523">
        <v>0</v>
      </c>
      <c r="Q523">
        <v>0</v>
      </c>
      <c r="R523">
        <v>0</v>
      </c>
      <c r="S523">
        <v>0</v>
      </c>
      <c r="T523">
        <v>0</v>
      </c>
      <c r="U523">
        <v>0</v>
      </c>
      <c r="V523">
        <v>0</v>
      </c>
      <c r="W523">
        <v>0</v>
      </c>
      <c r="X523">
        <v>0</v>
      </c>
      <c r="Y523">
        <v>0</v>
      </c>
      <c r="Z523">
        <v>0</v>
      </c>
      <c r="AA523">
        <v>0</v>
      </c>
      <c r="AB523">
        <v>0</v>
      </c>
    </row>
    <row r="524" spans="1:28" x14ac:dyDescent="0.3">
      <c r="A524" s="1">
        <v>44082</v>
      </c>
      <c r="B524" t="s">
        <v>135</v>
      </c>
      <c r="C524">
        <v>1</v>
      </c>
      <c r="D524">
        <v>0</v>
      </c>
      <c r="E524">
        <v>0</v>
      </c>
      <c r="F524">
        <v>0</v>
      </c>
      <c r="G524">
        <v>0</v>
      </c>
      <c r="H524">
        <v>0</v>
      </c>
      <c r="I524">
        <v>0</v>
      </c>
      <c r="J524">
        <v>0</v>
      </c>
      <c r="K524">
        <v>0</v>
      </c>
      <c r="L524">
        <v>0</v>
      </c>
      <c r="M524">
        <v>1538097</v>
      </c>
      <c r="N524" t="s">
        <v>136</v>
      </c>
      <c r="O524" t="s">
        <v>137</v>
      </c>
      <c r="P524">
        <v>0</v>
      </c>
      <c r="Q524">
        <v>0</v>
      </c>
      <c r="R524">
        <v>0</v>
      </c>
      <c r="S524">
        <v>0</v>
      </c>
      <c r="T524">
        <v>0</v>
      </c>
      <c r="U524">
        <v>0</v>
      </c>
      <c r="V524">
        <v>0</v>
      </c>
      <c r="W524">
        <v>0</v>
      </c>
      <c r="X524">
        <v>0</v>
      </c>
      <c r="Y524">
        <v>0</v>
      </c>
      <c r="Z524">
        <v>0</v>
      </c>
      <c r="AA524">
        <v>0</v>
      </c>
      <c r="AB524">
        <v>0</v>
      </c>
    </row>
    <row r="525" spans="1:28" x14ac:dyDescent="0.3">
      <c r="A525" s="1">
        <v>44082</v>
      </c>
      <c r="B525" t="s">
        <v>111</v>
      </c>
      <c r="C525">
        <v>1</v>
      </c>
      <c r="D525">
        <v>0</v>
      </c>
      <c r="E525">
        <v>0</v>
      </c>
      <c r="F525">
        <v>0</v>
      </c>
      <c r="G525">
        <v>0</v>
      </c>
      <c r="H525">
        <v>0</v>
      </c>
      <c r="I525">
        <v>0</v>
      </c>
      <c r="J525">
        <v>0</v>
      </c>
      <c r="K525">
        <v>0</v>
      </c>
      <c r="L525">
        <v>0</v>
      </c>
      <c r="M525">
        <v>1649859</v>
      </c>
      <c r="N525" t="s">
        <v>112</v>
      </c>
      <c r="O525" t="s">
        <v>113</v>
      </c>
      <c r="P525">
        <v>0</v>
      </c>
      <c r="Q525">
        <v>0</v>
      </c>
      <c r="R525">
        <v>0</v>
      </c>
      <c r="S525">
        <v>0</v>
      </c>
      <c r="T525">
        <v>0</v>
      </c>
      <c r="U525">
        <v>0</v>
      </c>
      <c r="V525">
        <v>0</v>
      </c>
      <c r="W525">
        <v>0</v>
      </c>
      <c r="X525">
        <v>0</v>
      </c>
      <c r="Y525">
        <v>0</v>
      </c>
      <c r="Z525">
        <v>0</v>
      </c>
      <c r="AA525">
        <v>0</v>
      </c>
      <c r="AB525">
        <v>0</v>
      </c>
    </row>
    <row r="526" spans="1:28" x14ac:dyDescent="0.3">
      <c r="A526" s="1">
        <v>44082</v>
      </c>
      <c r="B526" t="s">
        <v>204</v>
      </c>
      <c r="C526">
        <v>1</v>
      </c>
      <c r="D526">
        <v>0</v>
      </c>
      <c r="E526">
        <v>0</v>
      </c>
      <c r="F526">
        <v>0</v>
      </c>
      <c r="G526">
        <v>0</v>
      </c>
      <c r="H526">
        <v>0</v>
      </c>
      <c r="I526">
        <v>0</v>
      </c>
      <c r="J526">
        <v>0</v>
      </c>
      <c r="K526">
        <v>0</v>
      </c>
      <c r="L526">
        <v>0</v>
      </c>
      <c r="M526">
        <v>1868351</v>
      </c>
      <c r="N526" t="s">
        <v>205</v>
      </c>
      <c r="O526" t="s">
        <v>206</v>
      </c>
      <c r="P526">
        <v>0</v>
      </c>
      <c r="Q526">
        <v>0</v>
      </c>
      <c r="R526">
        <v>0</v>
      </c>
      <c r="S526">
        <v>0</v>
      </c>
      <c r="T526">
        <v>0</v>
      </c>
      <c r="U526">
        <v>0</v>
      </c>
      <c r="V526">
        <v>0</v>
      </c>
      <c r="W526">
        <v>0</v>
      </c>
      <c r="X526">
        <v>0</v>
      </c>
      <c r="Y526">
        <v>0</v>
      </c>
      <c r="Z526">
        <v>0</v>
      </c>
      <c r="AA526">
        <v>0</v>
      </c>
      <c r="AB526">
        <v>0</v>
      </c>
    </row>
    <row r="527" spans="1:28" x14ac:dyDescent="0.3">
      <c r="A527" s="1">
        <v>44082</v>
      </c>
      <c r="B527" t="s">
        <v>159</v>
      </c>
      <c r="C527">
        <v>1</v>
      </c>
      <c r="D527">
        <v>0</v>
      </c>
      <c r="E527">
        <v>0</v>
      </c>
      <c r="F527">
        <v>0</v>
      </c>
      <c r="G527">
        <v>0</v>
      </c>
      <c r="H527">
        <v>0</v>
      </c>
      <c r="I527">
        <v>0</v>
      </c>
      <c r="J527">
        <v>0</v>
      </c>
      <c r="K527">
        <v>0</v>
      </c>
      <c r="L527">
        <v>0</v>
      </c>
      <c r="M527">
        <v>2029250</v>
      </c>
      <c r="N527" t="s">
        <v>160</v>
      </c>
      <c r="O527" t="s">
        <v>161</v>
      </c>
      <c r="P527">
        <v>0</v>
      </c>
      <c r="Q527">
        <v>0</v>
      </c>
      <c r="R527">
        <v>0</v>
      </c>
      <c r="S527">
        <v>0</v>
      </c>
      <c r="T527">
        <v>0</v>
      </c>
      <c r="U527">
        <v>0</v>
      </c>
      <c r="V527">
        <v>0</v>
      </c>
      <c r="W527">
        <v>0</v>
      </c>
      <c r="X527">
        <v>0</v>
      </c>
      <c r="Y527">
        <v>0</v>
      </c>
      <c r="Z527">
        <v>0</v>
      </c>
      <c r="AA527">
        <v>0</v>
      </c>
      <c r="AB527">
        <v>0</v>
      </c>
    </row>
    <row r="528" spans="1:28" x14ac:dyDescent="0.3">
      <c r="A528" s="1">
        <v>44082</v>
      </c>
      <c r="B528" t="s">
        <v>147</v>
      </c>
      <c r="C528">
        <v>1</v>
      </c>
      <c r="D528">
        <v>0</v>
      </c>
      <c r="E528">
        <v>0</v>
      </c>
      <c r="F528">
        <v>0</v>
      </c>
      <c r="G528">
        <v>0</v>
      </c>
      <c r="H528">
        <v>0</v>
      </c>
      <c r="I528">
        <v>0</v>
      </c>
      <c r="J528">
        <v>0</v>
      </c>
      <c r="K528">
        <v>0</v>
      </c>
      <c r="L528">
        <v>0</v>
      </c>
      <c r="M528">
        <v>2075116</v>
      </c>
      <c r="N528" t="s">
        <v>148</v>
      </c>
      <c r="O528" t="s">
        <v>149</v>
      </c>
      <c r="P528">
        <v>0</v>
      </c>
      <c r="Q528">
        <v>0</v>
      </c>
      <c r="R528">
        <v>0</v>
      </c>
      <c r="S528">
        <v>0</v>
      </c>
      <c r="T528">
        <v>0</v>
      </c>
      <c r="U528">
        <v>0</v>
      </c>
      <c r="V528">
        <v>0</v>
      </c>
      <c r="W528">
        <v>0</v>
      </c>
      <c r="X528">
        <v>0</v>
      </c>
      <c r="Y528">
        <v>0</v>
      </c>
      <c r="Z528">
        <v>0</v>
      </c>
      <c r="AA528">
        <v>0</v>
      </c>
      <c r="AB528">
        <v>0</v>
      </c>
    </row>
    <row r="529" spans="1:28" x14ac:dyDescent="0.3">
      <c r="A529" s="1">
        <v>44082</v>
      </c>
      <c r="B529" t="s">
        <v>207</v>
      </c>
      <c r="C529">
        <v>1</v>
      </c>
      <c r="D529">
        <v>0</v>
      </c>
      <c r="E529">
        <v>0</v>
      </c>
      <c r="F529">
        <v>0</v>
      </c>
      <c r="G529">
        <v>0</v>
      </c>
      <c r="H529">
        <v>0</v>
      </c>
      <c r="I529">
        <v>0</v>
      </c>
      <c r="J529">
        <v>0</v>
      </c>
      <c r="K529">
        <v>0</v>
      </c>
      <c r="L529">
        <v>0</v>
      </c>
      <c r="M529">
        <v>2122913</v>
      </c>
      <c r="N529" t="s">
        <v>208</v>
      </c>
      <c r="O529" t="s">
        <v>209</v>
      </c>
      <c r="P529">
        <v>0</v>
      </c>
      <c r="Q529">
        <v>0</v>
      </c>
      <c r="R529">
        <v>0</v>
      </c>
      <c r="S529">
        <v>0</v>
      </c>
      <c r="T529">
        <v>0</v>
      </c>
      <c r="U529">
        <v>0</v>
      </c>
      <c r="V529">
        <v>0</v>
      </c>
      <c r="W529">
        <v>0</v>
      </c>
      <c r="X529">
        <v>0</v>
      </c>
      <c r="Y529">
        <v>0</v>
      </c>
      <c r="Z529">
        <v>0</v>
      </c>
      <c r="AA529">
        <v>0</v>
      </c>
      <c r="AB529">
        <v>0</v>
      </c>
    </row>
    <row r="530" spans="1:28" x14ac:dyDescent="0.3">
      <c r="A530" s="1">
        <v>44083</v>
      </c>
      <c r="B530" t="s">
        <v>37</v>
      </c>
      <c r="C530">
        <v>36</v>
      </c>
      <c r="D530">
        <v>495.46</v>
      </c>
      <c r="E530">
        <v>0</v>
      </c>
      <c r="F530">
        <v>495.46</v>
      </c>
      <c r="G530">
        <v>3</v>
      </c>
      <c r="H530">
        <v>0</v>
      </c>
      <c r="I530">
        <v>14.86</v>
      </c>
      <c r="J530">
        <v>8.33</v>
      </c>
      <c r="K530">
        <v>41.28</v>
      </c>
      <c r="L530">
        <v>165.15</v>
      </c>
      <c r="M530">
        <v>201285</v>
      </c>
      <c r="N530" t="s">
        <v>38</v>
      </c>
      <c r="O530" t="s">
        <v>39</v>
      </c>
      <c r="P530">
        <v>3</v>
      </c>
      <c r="Q530">
        <v>0</v>
      </c>
      <c r="R530">
        <v>0</v>
      </c>
      <c r="S530">
        <v>0</v>
      </c>
      <c r="T530">
        <v>0</v>
      </c>
      <c r="U530">
        <v>0</v>
      </c>
      <c r="V530">
        <v>14.86</v>
      </c>
      <c r="W530">
        <v>0</v>
      </c>
      <c r="X530">
        <v>0</v>
      </c>
      <c r="Y530">
        <v>0</v>
      </c>
      <c r="Z530">
        <v>0</v>
      </c>
      <c r="AA530">
        <v>0</v>
      </c>
      <c r="AB530">
        <v>2.97</v>
      </c>
    </row>
    <row r="531" spans="1:28" x14ac:dyDescent="0.3">
      <c r="A531" s="1">
        <v>44083</v>
      </c>
      <c r="B531" t="s">
        <v>93</v>
      </c>
      <c r="C531">
        <v>13</v>
      </c>
      <c r="D531">
        <v>215.1</v>
      </c>
      <c r="E531">
        <v>0</v>
      </c>
      <c r="F531">
        <v>215.1</v>
      </c>
      <c r="G531">
        <v>1</v>
      </c>
      <c r="H531">
        <v>0</v>
      </c>
      <c r="I531">
        <v>6.45</v>
      </c>
      <c r="J531">
        <v>7.69</v>
      </c>
      <c r="K531">
        <v>49.62</v>
      </c>
      <c r="L531">
        <v>215.1</v>
      </c>
      <c r="M531">
        <v>1238556</v>
      </c>
      <c r="N531" t="s">
        <v>94</v>
      </c>
      <c r="O531" t="s">
        <v>95</v>
      </c>
      <c r="P531">
        <v>1</v>
      </c>
      <c r="Q531">
        <v>0</v>
      </c>
      <c r="R531">
        <v>0</v>
      </c>
      <c r="S531">
        <v>0</v>
      </c>
      <c r="T531">
        <v>0</v>
      </c>
      <c r="U531">
        <v>0</v>
      </c>
      <c r="V531">
        <v>6.45</v>
      </c>
      <c r="W531">
        <v>0</v>
      </c>
      <c r="X531">
        <v>0</v>
      </c>
      <c r="Y531">
        <v>0</v>
      </c>
      <c r="Z531">
        <v>0</v>
      </c>
      <c r="AA531">
        <v>0</v>
      </c>
      <c r="AB531">
        <v>1.29</v>
      </c>
    </row>
    <row r="532" spans="1:28" x14ac:dyDescent="0.3">
      <c r="A532" s="1">
        <v>44083</v>
      </c>
      <c r="B532" t="s">
        <v>57</v>
      </c>
      <c r="C532">
        <v>7</v>
      </c>
      <c r="D532">
        <v>199</v>
      </c>
      <c r="E532">
        <v>0</v>
      </c>
      <c r="F532">
        <v>199</v>
      </c>
      <c r="G532">
        <v>1</v>
      </c>
      <c r="H532">
        <v>0</v>
      </c>
      <c r="I532">
        <v>5.97</v>
      </c>
      <c r="J532">
        <v>14.29</v>
      </c>
      <c r="K532">
        <v>85.29</v>
      </c>
      <c r="L532">
        <v>199</v>
      </c>
      <c r="M532">
        <v>2053730</v>
      </c>
      <c r="N532" t="s">
        <v>58</v>
      </c>
      <c r="O532" t="s">
        <v>59</v>
      </c>
      <c r="P532">
        <v>1</v>
      </c>
      <c r="Q532">
        <v>0</v>
      </c>
      <c r="R532">
        <v>0</v>
      </c>
      <c r="S532">
        <v>0</v>
      </c>
      <c r="T532">
        <v>0</v>
      </c>
      <c r="U532">
        <v>0</v>
      </c>
      <c r="V532">
        <v>5.97</v>
      </c>
      <c r="W532">
        <v>0</v>
      </c>
      <c r="X532">
        <v>0</v>
      </c>
      <c r="Y532">
        <v>0</v>
      </c>
      <c r="Z532">
        <v>0</v>
      </c>
      <c r="AA532">
        <v>0</v>
      </c>
      <c r="AB532">
        <v>1.19</v>
      </c>
    </row>
    <row r="533" spans="1:28" x14ac:dyDescent="0.3">
      <c r="A533" s="1">
        <v>44083</v>
      </c>
      <c r="B533" t="s">
        <v>60</v>
      </c>
      <c r="C533">
        <v>5</v>
      </c>
      <c r="D533">
        <v>170.1</v>
      </c>
      <c r="E533">
        <v>0</v>
      </c>
      <c r="F533">
        <v>170.1</v>
      </c>
      <c r="G533">
        <v>1</v>
      </c>
      <c r="H533">
        <v>0</v>
      </c>
      <c r="I533">
        <v>30.62</v>
      </c>
      <c r="J533">
        <v>20</v>
      </c>
      <c r="K533">
        <v>612.4</v>
      </c>
      <c r="L533">
        <v>170.1</v>
      </c>
      <c r="M533">
        <v>748814</v>
      </c>
      <c r="N533" t="s">
        <v>61</v>
      </c>
      <c r="O533" t="s">
        <v>62</v>
      </c>
      <c r="P533">
        <v>1</v>
      </c>
      <c r="Q533">
        <v>0</v>
      </c>
      <c r="R533">
        <v>0</v>
      </c>
      <c r="S533">
        <v>0</v>
      </c>
      <c r="T533">
        <v>0</v>
      </c>
      <c r="U533">
        <v>0</v>
      </c>
      <c r="V533">
        <v>30.62</v>
      </c>
      <c r="W533">
        <v>0</v>
      </c>
      <c r="X533">
        <v>0</v>
      </c>
      <c r="Y533">
        <v>0</v>
      </c>
      <c r="Z533">
        <v>0</v>
      </c>
      <c r="AA533">
        <v>0</v>
      </c>
      <c r="AB533">
        <v>6.12</v>
      </c>
    </row>
    <row r="534" spans="1:28" x14ac:dyDescent="0.3">
      <c r="A534" s="1">
        <v>44083</v>
      </c>
      <c r="B534" t="s">
        <v>123</v>
      </c>
      <c r="C534">
        <v>3</v>
      </c>
      <c r="D534">
        <v>138.38</v>
      </c>
      <c r="E534">
        <v>0</v>
      </c>
      <c r="F534">
        <v>138.38</v>
      </c>
      <c r="G534">
        <v>1</v>
      </c>
      <c r="H534">
        <v>0</v>
      </c>
      <c r="I534">
        <v>4.1500000000000004</v>
      </c>
      <c r="J534">
        <v>33.33</v>
      </c>
      <c r="K534">
        <v>138.33000000000001</v>
      </c>
      <c r="L534">
        <v>138.38</v>
      </c>
      <c r="M534">
        <v>213636</v>
      </c>
      <c r="N534" t="s">
        <v>124</v>
      </c>
      <c r="O534" t="s">
        <v>125</v>
      </c>
      <c r="P534">
        <v>1</v>
      </c>
      <c r="Q534">
        <v>0</v>
      </c>
      <c r="R534">
        <v>0</v>
      </c>
      <c r="S534">
        <v>0</v>
      </c>
      <c r="T534">
        <v>0</v>
      </c>
      <c r="U534">
        <v>0</v>
      </c>
      <c r="V534">
        <v>4.1500000000000004</v>
      </c>
      <c r="W534">
        <v>0</v>
      </c>
      <c r="X534">
        <v>0</v>
      </c>
      <c r="Y534">
        <v>0</v>
      </c>
      <c r="Z534">
        <v>0</v>
      </c>
      <c r="AA534">
        <v>0</v>
      </c>
      <c r="AB534">
        <v>0.83</v>
      </c>
    </row>
    <row r="535" spans="1:28" x14ac:dyDescent="0.3">
      <c r="A535" s="1">
        <v>44083</v>
      </c>
      <c r="B535" t="s">
        <v>46</v>
      </c>
      <c r="C535">
        <v>12</v>
      </c>
      <c r="D535">
        <v>132.30000000000001</v>
      </c>
      <c r="E535">
        <v>0</v>
      </c>
      <c r="F535">
        <v>132.30000000000001</v>
      </c>
      <c r="G535">
        <v>1</v>
      </c>
      <c r="H535">
        <v>0</v>
      </c>
      <c r="I535">
        <v>3.97</v>
      </c>
      <c r="J535">
        <v>8.33</v>
      </c>
      <c r="K535">
        <v>33.08</v>
      </c>
      <c r="L535">
        <v>132.30000000000001</v>
      </c>
      <c r="M535">
        <v>445875</v>
      </c>
      <c r="N535" t="s">
        <v>47</v>
      </c>
      <c r="O535" t="s">
        <v>48</v>
      </c>
      <c r="P535">
        <v>1</v>
      </c>
      <c r="Q535">
        <v>0</v>
      </c>
      <c r="R535">
        <v>0</v>
      </c>
      <c r="S535">
        <v>0</v>
      </c>
      <c r="T535">
        <v>0</v>
      </c>
      <c r="U535">
        <v>0</v>
      </c>
      <c r="V535">
        <v>3.97</v>
      </c>
      <c r="W535">
        <v>0</v>
      </c>
      <c r="X535">
        <v>0</v>
      </c>
      <c r="Y535">
        <v>0</v>
      </c>
      <c r="Z535">
        <v>0</v>
      </c>
      <c r="AA535">
        <v>0</v>
      </c>
      <c r="AB535">
        <v>0.79</v>
      </c>
    </row>
    <row r="536" spans="1:28" x14ac:dyDescent="0.3">
      <c r="A536" s="1">
        <v>44083</v>
      </c>
      <c r="B536" t="s">
        <v>43</v>
      </c>
      <c r="C536">
        <v>17</v>
      </c>
      <c r="D536">
        <v>120</v>
      </c>
      <c r="E536">
        <v>0</v>
      </c>
      <c r="F536">
        <v>120</v>
      </c>
      <c r="G536">
        <v>1</v>
      </c>
      <c r="H536">
        <v>0</v>
      </c>
      <c r="I536">
        <v>3.6</v>
      </c>
      <c r="J536">
        <v>5.88</v>
      </c>
      <c r="K536">
        <v>21.18</v>
      </c>
      <c r="L536">
        <v>120</v>
      </c>
      <c r="M536">
        <v>389818</v>
      </c>
      <c r="N536" t="s">
        <v>44</v>
      </c>
      <c r="O536" t="s">
        <v>45</v>
      </c>
      <c r="P536">
        <v>1</v>
      </c>
      <c r="Q536">
        <v>0</v>
      </c>
      <c r="R536">
        <v>0</v>
      </c>
      <c r="S536">
        <v>0</v>
      </c>
      <c r="T536">
        <v>0</v>
      </c>
      <c r="U536">
        <v>0</v>
      </c>
      <c r="V536">
        <v>3.6</v>
      </c>
      <c r="W536">
        <v>0</v>
      </c>
      <c r="X536">
        <v>0</v>
      </c>
      <c r="Y536">
        <v>0</v>
      </c>
      <c r="Z536">
        <v>0</v>
      </c>
      <c r="AA536">
        <v>0</v>
      </c>
      <c r="AB536">
        <v>0.72</v>
      </c>
    </row>
    <row r="537" spans="1:28" x14ac:dyDescent="0.3">
      <c r="A537" s="1">
        <v>44083</v>
      </c>
      <c r="B537" t="s">
        <v>49</v>
      </c>
      <c r="C537">
        <v>69</v>
      </c>
      <c r="D537">
        <v>77</v>
      </c>
      <c r="E537">
        <v>0</v>
      </c>
      <c r="F537">
        <v>77</v>
      </c>
      <c r="G537">
        <v>2</v>
      </c>
      <c r="H537">
        <v>0</v>
      </c>
      <c r="I537">
        <v>2.31</v>
      </c>
      <c r="J537">
        <v>2.9</v>
      </c>
      <c r="K537">
        <v>3.35</v>
      </c>
      <c r="L537">
        <v>38.5</v>
      </c>
      <c r="M537">
        <v>725033</v>
      </c>
      <c r="N537" t="s">
        <v>50</v>
      </c>
      <c r="O537" t="s">
        <v>51</v>
      </c>
      <c r="P537">
        <v>2</v>
      </c>
      <c r="Q537">
        <v>0</v>
      </c>
      <c r="R537">
        <v>0</v>
      </c>
      <c r="S537">
        <v>0</v>
      </c>
      <c r="T537">
        <v>0</v>
      </c>
      <c r="U537">
        <v>0</v>
      </c>
      <c r="V537">
        <v>2.31</v>
      </c>
      <c r="W537">
        <v>0</v>
      </c>
      <c r="X537">
        <v>0</v>
      </c>
      <c r="Y537">
        <v>0</v>
      </c>
      <c r="Z537">
        <v>0</v>
      </c>
      <c r="AA537">
        <v>0</v>
      </c>
      <c r="AB537">
        <v>0.46</v>
      </c>
    </row>
    <row r="538" spans="1:28" x14ac:dyDescent="0.3">
      <c r="A538" s="1">
        <v>44083</v>
      </c>
      <c r="B538" t="s">
        <v>28</v>
      </c>
      <c r="C538">
        <v>98</v>
      </c>
      <c r="D538">
        <v>0</v>
      </c>
      <c r="E538">
        <v>0</v>
      </c>
      <c r="F538">
        <v>0</v>
      </c>
      <c r="G538">
        <v>0</v>
      </c>
      <c r="H538">
        <v>0</v>
      </c>
      <c r="I538">
        <v>0</v>
      </c>
      <c r="J538">
        <v>0</v>
      </c>
      <c r="K538">
        <v>0</v>
      </c>
      <c r="L538">
        <v>0</v>
      </c>
      <c r="M538">
        <v>314743</v>
      </c>
      <c r="N538" t="s">
        <v>29</v>
      </c>
      <c r="O538" t="s">
        <v>30</v>
      </c>
      <c r="P538">
        <v>0</v>
      </c>
      <c r="Q538">
        <v>0</v>
      </c>
      <c r="R538">
        <v>0</v>
      </c>
      <c r="S538">
        <v>0</v>
      </c>
      <c r="T538">
        <v>0</v>
      </c>
      <c r="U538">
        <v>0</v>
      </c>
      <c r="V538">
        <v>0</v>
      </c>
      <c r="W538">
        <v>0</v>
      </c>
      <c r="X538">
        <v>0</v>
      </c>
      <c r="Y538">
        <v>0</v>
      </c>
      <c r="Z538">
        <v>0</v>
      </c>
      <c r="AA538">
        <v>0</v>
      </c>
      <c r="AB538">
        <v>0</v>
      </c>
    </row>
    <row r="539" spans="1:28" x14ac:dyDescent="0.3">
      <c r="A539" s="1">
        <v>44083</v>
      </c>
      <c r="B539" t="s">
        <v>40</v>
      </c>
      <c r="C539">
        <v>57</v>
      </c>
      <c r="D539">
        <v>0</v>
      </c>
      <c r="E539">
        <v>0</v>
      </c>
      <c r="F539">
        <v>0</v>
      </c>
      <c r="G539">
        <v>0</v>
      </c>
      <c r="H539">
        <v>0</v>
      </c>
      <c r="I539">
        <v>0</v>
      </c>
      <c r="J539">
        <v>0</v>
      </c>
      <c r="K539">
        <v>0</v>
      </c>
      <c r="L539">
        <v>0</v>
      </c>
      <c r="M539">
        <v>1088116</v>
      </c>
      <c r="N539" t="s">
        <v>41</v>
      </c>
      <c r="O539" t="s">
        <v>42</v>
      </c>
      <c r="P539">
        <v>0</v>
      </c>
      <c r="Q539">
        <v>0</v>
      </c>
      <c r="R539">
        <v>0</v>
      </c>
      <c r="S539">
        <v>0</v>
      </c>
      <c r="T539">
        <v>0</v>
      </c>
      <c r="U539">
        <v>0</v>
      </c>
      <c r="V539">
        <v>0</v>
      </c>
      <c r="W539">
        <v>0</v>
      </c>
      <c r="X539">
        <v>0</v>
      </c>
      <c r="Y539">
        <v>0</v>
      </c>
      <c r="Z539">
        <v>0</v>
      </c>
      <c r="AA539">
        <v>0</v>
      </c>
      <c r="AB539">
        <v>0</v>
      </c>
    </row>
    <row r="540" spans="1:28" x14ac:dyDescent="0.3">
      <c r="A540" s="1">
        <v>44083</v>
      </c>
      <c r="B540" t="s">
        <v>52</v>
      </c>
      <c r="C540">
        <v>56</v>
      </c>
      <c r="D540">
        <v>0</v>
      </c>
      <c r="E540">
        <v>0</v>
      </c>
      <c r="F540">
        <v>0</v>
      </c>
      <c r="G540">
        <v>0</v>
      </c>
      <c r="H540">
        <v>0</v>
      </c>
      <c r="I540">
        <v>0</v>
      </c>
      <c r="J540">
        <v>0</v>
      </c>
      <c r="K540">
        <v>0</v>
      </c>
      <c r="L540">
        <v>0</v>
      </c>
      <c r="M540">
        <v>1584217</v>
      </c>
      <c r="N540" t="s">
        <v>53</v>
      </c>
      <c r="O540" t="s">
        <v>54</v>
      </c>
      <c r="P540">
        <v>0</v>
      </c>
      <c r="Q540">
        <v>0</v>
      </c>
      <c r="R540">
        <v>0</v>
      </c>
      <c r="S540">
        <v>0</v>
      </c>
      <c r="T540">
        <v>0</v>
      </c>
      <c r="U540">
        <v>0</v>
      </c>
      <c r="V540">
        <v>0</v>
      </c>
      <c r="W540">
        <v>0</v>
      </c>
      <c r="X540">
        <v>0</v>
      </c>
      <c r="Y540">
        <v>0</v>
      </c>
      <c r="Z540">
        <v>0</v>
      </c>
      <c r="AA540">
        <v>0</v>
      </c>
      <c r="AB540">
        <v>0</v>
      </c>
    </row>
    <row r="541" spans="1:28" x14ac:dyDescent="0.3">
      <c r="A541" s="1">
        <v>44083</v>
      </c>
      <c r="B541" t="s">
        <v>55</v>
      </c>
      <c r="C541">
        <v>28</v>
      </c>
      <c r="D541">
        <v>0</v>
      </c>
      <c r="E541">
        <v>0</v>
      </c>
      <c r="F541">
        <v>0</v>
      </c>
      <c r="G541">
        <v>0</v>
      </c>
      <c r="H541">
        <v>0</v>
      </c>
      <c r="I541">
        <v>0</v>
      </c>
      <c r="J541">
        <v>0</v>
      </c>
      <c r="K541">
        <v>0</v>
      </c>
      <c r="L541">
        <v>0</v>
      </c>
      <c r="M541">
        <v>1773960</v>
      </c>
      <c r="N541" t="s">
        <v>35</v>
      </c>
      <c r="O541" t="s">
        <v>56</v>
      </c>
      <c r="P541">
        <v>0</v>
      </c>
      <c r="Q541">
        <v>0</v>
      </c>
      <c r="R541">
        <v>0</v>
      </c>
      <c r="S541">
        <v>0</v>
      </c>
      <c r="T541">
        <v>0</v>
      </c>
      <c r="U541">
        <v>0</v>
      </c>
      <c r="V541">
        <v>0</v>
      </c>
      <c r="W541">
        <v>0</v>
      </c>
      <c r="X541">
        <v>0</v>
      </c>
      <c r="Y541">
        <v>0</v>
      </c>
      <c r="Z541">
        <v>0</v>
      </c>
      <c r="AA541">
        <v>0</v>
      </c>
      <c r="AB541">
        <v>0</v>
      </c>
    </row>
    <row r="542" spans="1:28" x14ac:dyDescent="0.3">
      <c r="A542" s="1">
        <v>44083</v>
      </c>
      <c r="B542" t="s">
        <v>78</v>
      </c>
      <c r="C542">
        <v>13</v>
      </c>
      <c r="D542">
        <v>0</v>
      </c>
      <c r="E542">
        <v>0</v>
      </c>
      <c r="F542">
        <v>0</v>
      </c>
      <c r="G542">
        <v>0</v>
      </c>
      <c r="H542">
        <v>0</v>
      </c>
      <c r="I542">
        <v>0</v>
      </c>
      <c r="J542">
        <v>0</v>
      </c>
      <c r="K542">
        <v>0</v>
      </c>
      <c r="L542">
        <v>0</v>
      </c>
      <c r="M542">
        <v>1014069</v>
      </c>
      <c r="N542" t="s">
        <v>79</v>
      </c>
      <c r="O542" t="s">
        <v>80</v>
      </c>
      <c r="P542">
        <v>0</v>
      </c>
      <c r="Q542">
        <v>0</v>
      </c>
      <c r="R542">
        <v>0</v>
      </c>
      <c r="S542">
        <v>0</v>
      </c>
      <c r="T542">
        <v>0</v>
      </c>
      <c r="U542">
        <v>0</v>
      </c>
      <c r="V542">
        <v>0</v>
      </c>
      <c r="W542">
        <v>0</v>
      </c>
      <c r="X542">
        <v>0</v>
      </c>
      <c r="Y542">
        <v>0</v>
      </c>
      <c r="Z542">
        <v>0</v>
      </c>
      <c r="AA542">
        <v>0</v>
      </c>
      <c r="AB542">
        <v>0</v>
      </c>
    </row>
    <row r="543" spans="1:28" x14ac:dyDescent="0.3">
      <c r="A543" s="1">
        <v>44083</v>
      </c>
      <c r="B543" t="s">
        <v>69</v>
      </c>
      <c r="C543">
        <v>11</v>
      </c>
      <c r="D543">
        <v>0</v>
      </c>
      <c r="E543">
        <v>0</v>
      </c>
      <c r="F543">
        <v>0</v>
      </c>
      <c r="G543">
        <v>0</v>
      </c>
      <c r="H543">
        <v>0</v>
      </c>
      <c r="I543">
        <v>0</v>
      </c>
      <c r="J543">
        <v>0</v>
      </c>
      <c r="K543">
        <v>0</v>
      </c>
      <c r="L543">
        <v>0</v>
      </c>
      <c r="M543">
        <v>1772040</v>
      </c>
      <c r="N543" t="s">
        <v>70</v>
      </c>
      <c r="O543" t="s">
        <v>71</v>
      </c>
      <c r="P543">
        <v>0</v>
      </c>
      <c r="Q543">
        <v>0</v>
      </c>
      <c r="R543">
        <v>0</v>
      </c>
      <c r="S543">
        <v>0</v>
      </c>
      <c r="T543">
        <v>0</v>
      </c>
      <c r="U543">
        <v>0</v>
      </c>
      <c r="V543">
        <v>0</v>
      </c>
      <c r="W543">
        <v>0</v>
      </c>
      <c r="X543">
        <v>0</v>
      </c>
      <c r="Y543">
        <v>0</v>
      </c>
      <c r="Z543">
        <v>0</v>
      </c>
      <c r="AA543">
        <v>0</v>
      </c>
      <c r="AB543">
        <v>0</v>
      </c>
    </row>
    <row r="544" spans="1:28" x14ac:dyDescent="0.3">
      <c r="A544" s="1">
        <v>44083</v>
      </c>
      <c r="B544" t="s">
        <v>34</v>
      </c>
      <c r="C544">
        <v>10</v>
      </c>
      <c r="D544">
        <v>0</v>
      </c>
      <c r="E544">
        <v>0</v>
      </c>
      <c r="F544">
        <v>0</v>
      </c>
      <c r="G544">
        <v>0</v>
      </c>
      <c r="H544">
        <v>0</v>
      </c>
      <c r="I544">
        <v>0</v>
      </c>
      <c r="J544">
        <v>0</v>
      </c>
      <c r="K544">
        <v>0</v>
      </c>
      <c r="L544">
        <v>0</v>
      </c>
      <c r="M544">
        <v>2284878</v>
      </c>
      <c r="N544" t="s">
        <v>35</v>
      </c>
      <c r="O544" t="s">
        <v>36</v>
      </c>
      <c r="P544">
        <v>0</v>
      </c>
      <c r="Q544">
        <v>0</v>
      </c>
      <c r="R544">
        <v>0</v>
      </c>
      <c r="S544">
        <v>0</v>
      </c>
      <c r="T544">
        <v>0</v>
      </c>
      <c r="U544">
        <v>0</v>
      </c>
      <c r="V544">
        <v>0</v>
      </c>
      <c r="W544">
        <v>0</v>
      </c>
      <c r="X544">
        <v>0</v>
      </c>
      <c r="Y544">
        <v>0</v>
      </c>
      <c r="Z544">
        <v>0</v>
      </c>
      <c r="AA544">
        <v>0</v>
      </c>
      <c r="AB544">
        <v>0</v>
      </c>
    </row>
    <row r="545" spans="1:28" x14ac:dyDescent="0.3">
      <c r="A545" s="1">
        <v>44083</v>
      </c>
      <c r="B545" t="s">
        <v>63</v>
      </c>
      <c r="C545">
        <v>8</v>
      </c>
      <c r="D545">
        <v>0</v>
      </c>
      <c r="E545">
        <v>0</v>
      </c>
      <c r="F545">
        <v>0</v>
      </c>
      <c r="G545">
        <v>0</v>
      </c>
      <c r="H545">
        <v>0</v>
      </c>
      <c r="I545">
        <v>0</v>
      </c>
      <c r="J545">
        <v>0</v>
      </c>
      <c r="K545">
        <v>0</v>
      </c>
      <c r="L545">
        <v>0</v>
      </c>
      <c r="M545">
        <v>140995</v>
      </c>
      <c r="N545" t="s">
        <v>64</v>
      </c>
      <c r="O545" t="s">
        <v>65</v>
      </c>
      <c r="P545">
        <v>0</v>
      </c>
      <c r="Q545">
        <v>0</v>
      </c>
      <c r="R545">
        <v>0</v>
      </c>
      <c r="S545">
        <v>0</v>
      </c>
      <c r="T545">
        <v>0</v>
      </c>
      <c r="U545">
        <v>0</v>
      </c>
      <c r="V545">
        <v>0</v>
      </c>
      <c r="W545">
        <v>0</v>
      </c>
      <c r="X545">
        <v>0</v>
      </c>
      <c r="Y545">
        <v>0</v>
      </c>
      <c r="Z545">
        <v>0</v>
      </c>
      <c r="AA545">
        <v>0</v>
      </c>
      <c r="AB545">
        <v>0</v>
      </c>
    </row>
    <row r="546" spans="1:28" x14ac:dyDescent="0.3">
      <c r="A546" s="1">
        <v>44083</v>
      </c>
      <c r="B546" t="s">
        <v>90</v>
      </c>
      <c r="C546">
        <v>6</v>
      </c>
      <c r="D546">
        <v>0</v>
      </c>
      <c r="E546">
        <v>0</v>
      </c>
      <c r="F546">
        <v>0</v>
      </c>
      <c r="G546">
        <v>0</v>
      </c>
      <c r="H546">
        <v>0</v>
      </c>
      <c r="I546">
        <v>0</v>
      </c>
      <c r="J546">
        <v>0</v>
      </c>
      <c r="K546">
        <v>0</v>
      </c>
      <c r="L546">
        <v>0</v>
      </c>
      <c r="M546">
        <v>136482</v>
      </c>
      <c r="N546" t="s">
        <v>91</v>
      </c>
      <c r="O546" t="s">
        <v>92</v>
      </c>
      <c r="P546">
        <v>0</v>
      </c>
      <c r="Q546">
        <v>0</v>
      </c>
      <c r="R546">
        <v>0</v>
      </c>
      <c r="S546">
        <v>0</v>
      </c>
      <c r="T546">
        <v>0</v>
      </c>
      <c r="U546">
        <v>0</v>
      </c>
      <c r="V546">
        <v>0</v>
      </c>
      <c r="W546">
        <v>0</v>
      </c>
      <c r="X546">
        <v>0</v>
      </c>
      <c r="Y546">
        <v>0</v>
      </c>
      <c r="Z546">
        <v>0</v>
      </c>
      <c r="AA546">
        <v>0</v>
      </c>
      <c r="AB546">
        <v>0</v>
      </c>
    </row>
    <row r="547" spans="1:28" x14ac:dyDescent="0.3">
      <c r="A547" s="1">
        <v>44083</v>
      </c>
      <c r="B547" t="s">
        <v>66</v>
      </c>
      <c r="C547">
        <v>6</v>
      </c>
      <c r="D547">
        <v>0</v>
      </c>
      <c r="E547">
        <v>0</v>
      </c>
      <c r="F547">
        <v>0</v>
      </c>
      <c r="G547">
        <v>0</v>
      </c>
      <c r="H547">
        <v>0</v>
      </c>
      <c r="I547">
        <v>0</v>
      </c>
      <c r="J547">
        <v>0</v>
      </c>
      <c r="K547">
        <v>0</v>
      </c>
      <c r="L547">
        <v>0</v>
      </c>
      <c r="M547">
        <v>1413766</v>
      </c>
      <c r="N547" t="s">
        <v>67</v>
      </c>
      <c r="O547" t="s">
        <v>68</v>
      </c>
      <c r="P547">
        <v>0</v>
      </c>
      <c r="Q547">
        <v>0</v>
      </c>
      <c r="R547">
        <v>0</v>
      </c>
      <c r="S547">
        <v>0</v>
      </c>
      <c r="T547">
        <v>0</v>
      </c>
      <c r="U547">
        <v>0</v>
      </c>
      <c r="V547">
        <v>0</v>
      </c>
      <c r="W547">
        <v>0</v>
      </c>
      <c r="X547">
        <v>0</v>
      </c>
      <c r="Y547">
        <v>0</v>
      </c>
      <c r="Z547">
        <v>0</v>
      </c>
      <c r="AA547">
        <v>0</v>
      </c>
      <c r="AB547">
        <v>0</v>
      </c>
    </row>
    <row r="548" spans="1:28" x14ac:dyDescent="0.3">
      <c r="A548" s="1">
        <v>44083</v>
      </c>
      <c r="B548" t="s">
        <v>75</v>
      </c>
      <c r="C548">
        <v>5</v>
      </c>
      <c r="D548">
        <v>0</v>
      </c>
      <c r="E548">
        <v>0</v>
      </c>
      <c r="F548">
        <v>0</v>
      </c>
      <c r="G548">
        <v>0</v>
      </c>
      <c r="H548">
        <v>0</v>
      </c>
      <c r="I548">
        <v>0</v>
      </c>
      <c r="J548">
        <v>0</v>
      </c>
      <c r="K548">
        <v>0</v>
      </c>
      <c r="L548">
        <v>0</v>
      </c>
      <c r="M548">
        <v>745788</v>
      </c>
      <c r="N548" t="s">
        <v>76</v>
      </c>
      <c r="O548" t="s">
        <v>77</v>
      </c>
      <c r="P548">
        <v>0</v>
      </c>
      <c r="Q548">
        <v>0</v>
      </c>
      <c r="R548">
        <v>0</v>
      </c>
      <c r="S548">
        <v>0</v>
      </c>
      <c r="T548">
        <v>0</v>
      </c>
      <c r="U548">
        <v>0</v>
      </c>
      <c r="V548">
        <v>0</v>
      </c>
      <c r="W548">
        <v>0</v>
      </c>
      <c r="X548">
        <v>0</v>
      </c>
      <c r="Y548">
        <v>0</v>
      </c>
      <c r="Z548">
        <v>0</v>
      </c>
      <c r="AA548">
        <v>0</v>
      </c>
      <c r="AB548">
        <v>0</v>
      </c>
    </row>
    <row r="549" spans="1:28" x14ac:dyDescent="0.3">
      <c r="A549" s="1">
        <v>44083</v>
      </c>
      <c r="B549" t="s">
        <v>210</v>
      </c>
      <c r="C549">
        <v>4</v>
      </c>
      <c r="D549">
        <v>0</v>
      </c>
      <c r="E549">
        <v>0</v>
      </c>
      <c r="F549">
        <v>0</v>
      </c>
      <c r="G549">
        <v>0</v>
      </c>
      <c r="H549">
        <v>0</v>
      </c>
      <c r="I549">
        <v>0</v>
      </c>
      <c r="J549">
        <v>0</v>
      </c>
      <c r="K549">
        <v>0</v>
      </c>
      <c r="L549">
        <v>0</v>
      </c>
      <c r="M549">
        <v>721112</v>
      </c>
      <c r="N549" t="s">
        <v>211</v>
      </c>
      <c r="O549" t="s">
        <v>212</v>
      </c>
      <c r="P549">
        <v>0</v>
      </c>
      <c r="Q549">
        <v>0</v>
      </c>
      <c r="R549">
        <v>0</v>
      </c>
      <c r="S549">
        <v>0</v>
      </c>
      <c r="T549">
        <v>0</v>
      </c>
      <c r="U549">
        <v>0</v>
      </c>
      <c r="V549">
        <v>0</v>
      </c>
      <c r="W549">
        <v>0</v>
      </c>
      <c r="X549">
        <v>0</v>
      </c>
      <c r="Y549">
        <v>0</v>
      </c>
      <c r="Z549">
        <v>0</v>
      </c>
      <c r="AA549">
        <v>0</v>
      </c>
      <c r="AB549">
        <v>0</v>
      </c>
    </row>
    <row r="550" spans="1:28" x14ac:dyDescent="0.3">
      <c r="A550" s="1">
        <v>44083</v>
      </c>
      <c r="B550" t="s">
        <v>31</v>
      </c>
      <c r="C550">
        <v>4</v>
      </c>
      <c r="D550">
        <v>0</v>
      </c>
      <c r="E550">
        <v>0</v>
      </c>
      <c r="F550">
        <v>0</v>
      </c>
      <c r="G550">
        <v>0</v>
      </c>
      <c r="H550">
        <v>0</v>
      </c>
      <c r="I550">
        <v>0</v>
      </c>
      <c r="J550">
        <v>0</v>
      </c>
      <c r="K550">
        <v>0</v>
      </c>
      <c r="L550">
        <v>0</v>
      </c>
      <c r="M550">
        <v>1663605</v>
      </c>
      <c r="N550" t="s">
        <v>32</v>
      </c>
      <c r="O550" t="s">
        <v>33</v>
      </c>
      <c r="P550">
        <v>0</v>
      </c>
      <c r="Q550">
        <v>0</v>
      </c>
      <c r="R550">
        <v>0</v>
      </c>
      <c r="S550">
        <v>0</v>
      </c>
      <c r="T550">
        <v>0</v>
      </c>
      <c r="U550">
        <v>0</v>
      </c>
      <c r="V550">
        <v>0</v>
      </c>
      <c r="W550">
        <v>0</v>
      </c>
      <c r="X550">
        <v>0</v>
      </c>
      <c r="Y550">
        <v>0</v>
      </c>
      <c r="Z550">
        <v>0</v>
      </c>
      <c r="AA550">
        <v>0</v>
      </c>
      <c r="AB550">
        <v>0</v>
      </c>
    </row>
    <row r="551" spans="1:28" x14ac:dyDescent="0.3">
      <c r="A551" s="1">
        <v>44083</v>
      </c>
      <c r="B551" t="s">
        <v>72</v>
      </c>
      <c r="C551">
        <v>3</v>
      </c>
      <c r="D551">
        <v>0</v>
      </c>
      <c r="E551">
        <v>0</v>
      </c>
      <c r="F551">
        <v>0</v>
      </c>
      <c r="G551">
        <v>0</v>
      </c>
      <c r="H551">
        <v>0</v>
      </c>
      <c r="I551">
        <v>0</v>
      </c>
      <c r="J551">
        <v>0</v>
      </c>
      <c r="K551">
        <v>0</v>
      </c>
      <c r="L551">
        <v>0</v>
      </c>
      <c r="M551">
        <v>514792</v>
      </c>
      <c r="N551" t="s">
        <v>73</v>
      </c>
      <c r="O551" t="s">
        <v>74</v>
      </c>
      <c r="P551">
        <v>0</v>
      </c>
      <c r="Q551">
        <v>0</v>
      </c>
      <c r="R551">
        <v>0</v>
      </c>
      <c r="S551">
        <v>0</v>
      </c>
      <c r="T551">
        <v>0</v>
      </c>
      <c r="U551">
        <v>0</v>
      </c>
      <c r="V551">
        <v>0</v>
      </c>
      <c r="W551">
        <v>0</v>
      </c>
      <c r="X551">
        <v>0</v>
      </c>
      <c r="Y551">
        <v>0</v>
      </c>
      <c r="Z551">
        <v>0</v>
      </c>
      <c r="AA551">
        <v>0</v>
      </c>
      <c r="AB551">
        <v>0</v>
      </c>
    </row>
    <row r="552" spans="1:28" x14ac:dyDescent="0.3">
      <c r="A552" s="1">
        <v>44083</v>
      </c>
      <c r="B552" t="s">
        <v>84</v>
      </c>
      <c r="C552">
        <v>3</v>
      </c>
      <c r="D552">
        <v>0</v>
      </c>
      <c r="E552">
        <v>0</v>
      </c>
      <c r="F552">
        <v>0</v>
      </c>
      <c r="G552">
        <v>0</v>
      </c>
      <c r="H552">
        <v>0</v>
      </c>
      <c r="I552">
        <v>0</v>
      </c>
      <c r="J552">
        <v>0</v>
      </c>
      <c r="K552">
        <v>0</v>
      </c>
      <c r="L552">
        <v>0</v>
      </c>
      <c r="M552">
        <v>1242889</v>
      </c>
      <c r="N552" t="s">
        <v>85</v>
      </c>
      <c r="O552" t="s">
        <v>86</v>
      </c>
      <c r="P552">
        <v>0</v>
      </c>
      <c r="Q552">
        <v>0</v>
      </c>
      <c r="R552">
        <v>0</v>
      </c>
      <c r="S552">
        <v>0</v>
      </c>
      <c r="T552">
        <v>0</v>
      </c>
      <c r="U552">
        <v>0</v>
      </c>
      <c r="V552">
        <v>0</v>
      </c>
      <c r="W552">
        <v>0</v>
      </c>
      <c r="X552">
        <v>0</v>
      </c>
      <c r="Y552">
        <v>0</v>
      </c>
      <c r="Z552">
        <v>0</v>
      </c>
      <c r="AA552">
        <v>0</v>
      </c>
      <c r="AB552">
        <v>0</v>
      </c>
    </row>
    <row r="553" spans="1:28" x14ac:dyDescent="0.3">
      <c r="A553" s="1">
        <v>44083</v>
      </c>
      <c r="B553" t="s">
        <v>132</v>
      </c>
      <c r="C553">
        <v>3</v>
      </c>
      <c r="D553">
        <v>0</v>
      </c>
      <c r="E553">
        <v>0</v>
      </c>
      <c r="F553">
        <v>0</v>
      </c>
      <c r="G553">
        <v>0</v>
      </c>
      <c r="H553">
        <v>0</v>
      </c>
      <c r="I553">
        <v>0</v>
      </c>
      <c r="J553">
        <v>0</v>
      </c>
      <c r="K553">
        <v>0</v>
      </c>
      <c r="L553">
        <v>0</v>
      </c>
      <c r="M553">
        <v>1375544</v>
      </c>
      <c r="N553" t="s">
        <v>133</v>
      </c>
      <c r="O553" t="s">
        <v>134</v>
      </c>
      <c r="P553">
        <v>0</v>
      </c>
      <c r="Q553">
        <v>0</v>
      </c>
      <c r="R553">
        <v>0</v>
      </c>
      <c r="S553">
        <v>0</v>
      </c>
      <c r="T553">
        <v>0</v>
      </c>
      <c r="U553">
        <v>0</v>
      </c>
      <c r="V553">
        <v>0</v>
      </c>
      <c r="W553">
        <v>0</v>
      </c>
      <c r="X553">
        <v>0</v>
      </c>
      <c r="Y553">
        <v>0</v>
      </c>
      <c r="Z553">
        <v>0</v>
      </c>
      <c r="AA553">
        <v>0</v>
      </c>
      <c r="AB553">
        <v>0</v>
      </c>
    </row>
    <row r="554" spans="1:28" x14ac:dyDescent="0.3">
      <c r="A554" s="1">
        <v>44083</v>
      </c>
      <c r="B554" t="s">
        <v>87</v>
      </c>
      <c r="C554">
        <v>3</v>
      </c>
      <c r="D554">
        <v>0</v>
      </c>
      <c r="E554">
        <v>0</v>
      </c>
      <c r="F554">
        <v>0</v>
      </c>
      <c r="G554">
        <v>0</v>
      </c>
      <c r="H554">
        <v>0</v>
      </c>
      <c r="I554">
        <v>0</v>
      </c>
      <c r="J554">
        <v>0</v>
      </c>
      <c r="K554">
        <v>0</v>
      </c>
      <c r="L554">
        <v>0</v>
      </c>
      <c r="M554">
        <v>1519404</v>
      </c>
      <c r="N554" t="s">
        <v>88</v>
      </c>
      <c r="O554" t="s">
        <v>89</v>
      </c>
      <c r="P554">
        <v>0</v>
      </c>
      <c r="Q554">
        <v>0</v>
      </c>
      <c r="R554">
        <v>0</v>
      </c>
      <c r="S554">
        <v>0</v>
      </c>
      <c r="T554">
        <v>0</v>
      </c>
      <c r="U554">
        <v>0</v>
      </c>
      <c r="V554">
        <v>0</v>
      </c>
      <c r="W554">
        <v>0</v>
      </c>
      <c r="X554">
        <v>0</v>
      </c>
      <c r="Y554">
        <v>0</v>
      </c>
      <c r="Z554">
        <v>0</v>
      </c>
      <c r="AA554">
        <v>0</v>
      </c>
      <c r="AB554">
        <v>0</v>
      </c>
    </row>
    <row r="555" spans="1:28" x14ac:dyDescent="0.3">
      <c r="A555" s="1">
        <v>44083</v>
      </c>
      <c r="B555" t="s">
        <v>138</v>
      </c>
      <c r="C555">
        <v>3</v>
      </c>
      <c r="D555">
        <v>0</v>
      </c>
      <c r="E555">
        <v>0</v>
      </c>
      <c r="F555">
        <v>0</v>
      </c>
      <c r="G555">
        <v>0</v>
      </c>
      <c r="H555">
        <v>0</v>
      </c>
      <c r="I555">
        <v>0</v>
      </c>
      <c r="J555">
        <v>0</v>
      </c>
      <c r="K555">
        <v>0</v>
      </c>
      <c r="L555">
        <v>0</v>
      </c>
      <c r="M555">
        <v>1578665</v>
      </c>
      <c r="N555" t="s">
        <v>139</v>
      </c>
      <c r="O555" t="s">
        <v>140</v>
      </c>
      <c r="P555">
        <v>0</v>
      </c>
      <c r="Q555">
        <v>0</v>
      </c>
      <c r="R555">
        <v>0</v>
      </c>
      <c r="S555">
        <v>0</v>
      </c>
      <c r="T555">
        <v>0</v>
      </c>
      <c r="U555">
        <v>0</v>
      </c>
      <c r="V555">
        <v>0</v>
      </c>
      <c r="W555">
        <v>0</v>
      </c>
      <c r="X555">
        <v>0</v>
      </c>
      <c r="Y555">
        <v>0</v>
      </c>
      <c r="Z555">
        <v>0</v>
      </c>
      <c r="AA555">
        <v>0</v>
      </c>
      <c r="AB555">
        <v>0</v>
      </c>
    </row>
    <row r="556" spans="1:28" x14ac:dyDescent="0.3">
      <c r="A556" s="1">
        <v>44083</v>
      </c>
      <c r="B556" t="s">
        <v>99</v>
      </c>
      <c r="C556">
        <v>2</v>
      </c>
      <c r="D556">
        <v>0</v>
      </c>
      <c r="E556">
        <v>0</v>
      </c>
      <c r="F556">
        <v>0</v>
      </c>
      <c r="G556">
        <v>0</v>
      </c>
      <c r="H556">
        <v>0</v>
      </c>
      <c r="I556">
        <v>0</v>
      </c>
      <c r="J556">
        <v>0</v>
      </c>
      <c r="K556">
        <v>0</v>
      </c>
      <c r="L556">
        <v>0</v>
      </c>
      <c r="M556">
        <v>193744</v>
      </c>
      <c r="N556" t="s">
        <v>100</v>
      </c>
      <c r="O556" t="s">
        <v>101</v>
      </c>
      <c r="P556">
        <v>0</v>
      </c>
      <c r="Q556">
        <v>0</v>
      </c>
      <c r="R556">
        <v>0</v>
      </c>
      <c r="S556">
        <v>0</v>
      </c>
      <c r="T556">
        <v>0</v>
      </c>
      <c r="U556">
        <v>0</v>
      </c>
      <c r="V556">
        <v>0</v>
      </c>
      <c r="W556">
        <v>0</v>
      </c>
      <c r="X556">
        <v>0</v>
      </c>
      <c r="Y556">
        <v>0</v>
      </c>
      <c r="Z556">
        <v>0</v>
      </c>
      <c r="AA556">
        <v>0</v>
      </c>
      <c r="AB556">
        <v>0</v>
      </c>
    </row>
    <row r="557" spans="1:28" x14ac:dyDescent="0.3">
      <c r="A557" s="1">
        <v>44083</v>
      </c>
      <c r="B557" t="s">
        <v>102</v>
      </c>
      <c r="C557">
        <v>2</v>
      </c>
      <c r="D557">
        <v>0</v>
      </c>
      <c r="E557">
        <v>0</v>
      </c>
      <c r="F557">
        <v>0</v>
      </c>
      <c r="G557">
        <v>0</v>
      </c>
      <c r="H557">
        <v>0</v>
      </c>
      <c r="I557">
        <v>0</v>
      </c>
      <c r="J557">
        <v>0</v>
      </c>
      <c r="K557">
        <v>0</v>
      </c>
      <c r="L557">
        <v>0</v>
      </c>
      <c r="M557">
        <v>742098</v>
      </c>
      <c r="N557" t="s">
        <v>103</v>
      </c>
      <c r="O557" t="s">
        <v>104</v>
      </c>
      <c r="P557">
        <v>0</v>
      </c>
      <c r="Q557">
        <v>0</v>
      </c>
      <c r="R557">
        <v>0</v>
      </c>
      <c r="S557">
        <v>0</v>
      </c>
      <c r="T557">
        <v>0</v>
      </c>
      <c r="U557">
        <v>0</v>
      </c>
      <c r="V557">
        <v>0</v>
      </c>
      <c r="W557">
        <v>0</v>
      </c>
      <c r="X557">
        <v>0</v>
      </c>
      <c r="Y557">
        <v>0</v>
      </c>
      <c r="Z557">
        <v>0</v>
      </c>
      <c r="AA557">
        <v>0</v>
      </c>
      <c r="AB557">
        <v>0</v>
      </c>
    </row>
    <row r="558" spans="1:28" x14ac:dyDescent="0.3">
      <c r="A558" s="1">
        <v>44083</v>
      </c>
      <c r="B558" t="s">
        <v>129</v>
      </c>
      <c r="C558">
        <v>2</v>
      </c>
      <c r="D558">
        <v>0</v>
      </c>
      <c r="E558">
        <v>0</v>
      </c>
      <c r="F558">
        <v>0</v>
      </c>
      <c r="G558">
        <v>0</v>
      </c>
      <c r="H558">
        <v>0</v>
      </c>
      <c r="I558">
        <v>0</v>
      </c>
      <c r="J558">
        <v>0</v>
      </c>
      <c r="K558">
        <v>0</v>
      </c>
      <c r="L558">
        <v>0</v>
      </c>
      <c r="M558">
        <v>1140999</v>
      </c>
      <c r="N558" t="s">
        <v>130</v>
      </c>
      <c r="O558" t="s">
        <v>131</v>
      </c>
      <c r="P558">
        <v>0</v>
      </c>
      <c r="Q558">
        <v>0</v>
      </c>
      <c r="R558">
        <v>0</v>
      </c>
      <c r="S558">
        <v>0</v>
      </c>
      <c r="T558">
        <v>0</v>
      </c>
      <c r="U558">
        <v>0</v>
      </c>
      <c r="V558">
        <v>0</v>
      </c>
      <c r="W558">
        <v>0</v>
      </c>
      <c r="X558">
        <v>0</v>
      </c>
      <c r="Y558">
        <v>0</v>
      </c>
      <c r="Z558">
        <v>0</v>
      </c>
      <c r="AA558">
        <v>0</v>
      </c>
      <c r="AB558">
        <v>0</v>
      </c>
    </row>
    <row r="559" spans="1:28" x14ac:dyDescent="0.3">
      <c r="A559" s="1">
        <v>44083</v>
      </c>
      <c r="B559" t="s">
        <v>213</v>
      </c>
      <c r="C559">
        <v>2</v>
      </c>
      <c r="D559">
        <v>0</v>
      </c>
      <c r="E559">
        <v>0</v>
      </c>
      <c r="F559">
        <v>0</v>
      </c>
      <c r="G559">
        <v>0</v>
      </c>
      <c r="H559">
        <v>0</v>
      </c>
      <c r="I559">
        <v>0</v>
      </c>
      <c r="J559">
        <v>0</v>
      </c>
      <c r="K559">
        <v>0</v>
      </c>
      <c r="L559">
        <v>0</v>
      </c>
      <c r="M559">
        <v>1418817</v>
      </c>
      <c r="N559" t="s">
        <v>214</v>
      </c>
      <c r="O559" t="s">
        <v>215</v>
      </c>
      <c r="P559">
        <v>0</v>
      </c>
      <c r="Q559">
        <v>0</v>
      </c>
      <c r="R559">
        <v>0</v>
      </c>
      <c r="S559">
        <v>0</v>
      </c>
      <c r="T559">
        <v>0</v>
      </c>
      <c r="U559">
        <v>0</v>
      </c>
      <c r="V559">
        <v>0</v>
      </c>
      <c r="W559">
        <v>0</v>
      </c>
      <c r="X559">
        <v>0</v>
      </c>
      <c r="Y559">
        <v>0</v>
      </c>
      <c r="Z559">
        <v>0</v>
      </c>
      <c r="AA559">
        <v>0</v>
      </c>
      <c r="AB559">
        <v>0</v>
      </c>
    </row>
    <row r="560" spans="1:28" x14ac:dyDescent="0.3">
      <c r="A560" s="1">
        <v>44083</v>
      </c>
      <c r="B560" t="s">
        <v>144</v>
      </c>
      <c r="C560">
        <v>2</v>
      </c>
      <c r="D560">
        <v>0</v>
      </c>
      <c r="E560">
        <v>0</v>
      </c>
      <c r="F560">
        <v>0</v>
      </c>
      <c r="G560">
        <v>0</v>
      </c>
      <c r="H560">
        <v>0</v>
      </c>
      <c r="I560">
        <v>0</v>
      </c>
      <c r="J560">
        <v>0</v>
      </c>
      <c r="K560">
        <v>0</v>
      </c>
      <c r="L560">
        <v>0</v>
      </c>
      <c r="M560">
        <v>2015681</v>
      </c>
      <c r="N560" t="s">
        <v>145</v>
      </c>
      <c r="O560" t="s">
        <v>146</v>
      </c>
      <c r="P560">
        <v>0</v>
      </c>
      <c r="Q560">
        <v>0</v>
      </c>
      <c r="R560">
        <v>0</v>
      </c>
      <c r="S560">
        <v>0</v>
      </c>
      <c r="T560">
        <v>0</v>
      </c>
      <c r="U560">
        <v>0</v>
      </c>
      <c r="V560">
        <v>0</v>
      </c>
      <c r="W560">
        <v>0</v>
      </c>
      <c r="X560">
        <v>0</v>
      </c>
      <c r="Y560">
        <v>0</v>
      </c>
      <c r="Z560">
        <v>0</v>
      </c>
      <c r="AA560">
        <v>0</v>
      </c>
      <c r="AB560">
        <v>0</v>
      </c>
    </row>
    <row r="561" spans="1:28" x14ac:dyDescent="0.3">
      <c r="A561" s="1">
        <v>44083</v>
      </c>
      <c r="B561" t="s">
        <v>153</v>
      </c>
      <c r="C561">
        <v>2</v>
      </c>
      <c r="D561">
        <v>0</v>
      </c>
      <c r="E561">
        <v>0</v>
      </c>
      <c r="F561">
        <v>0</v>
      </c>
      <c r="G561">
        <v>0</v>
      </c>
      <c r="H561">
        <v>0</v>
      </c>
      <c r="I561">
        <v>0</v>
      </c>
      <c r="J561">
        <v>0</v>
      </c>
      <c r="K561">
        <v>0</v>
      </c>
      <c r="L561">
        <v>0</v>
      </c>
      <c r="M561">
        <v>2371233</v>
      </c>
      <c r="N561" t="s">
        <v>154</v>
      </c>
      <c r="O561" t="s">
        <v>155</v>
      </c>
      <c r="P561">
        <v>0</v>
      </c>
      <c r="Q561">
        <v>0</v>
      </c>
      <c r="R561">
        <v>0</v>
      </c>
      <c r="S561">
        <v>0</v>
      </c>
      <c r="T561">
        <v>0</v>
      </c>
      <c r="U561">
        <v>0</v>
      </c>
      <c r="V561">
        <v>0</v>
      </c>
      <c r="W561">
        <v>0</v>
      </c>
      <c r="X561">
        <v>0</v>
      </c>
      <c r="Y561">
        <v>0</v>
      </c>
      <c r="Z561">
        <v>0</v>
      </c>
      <c r="AA561">
        <v>0</v>
      </c>
      <c r="AB561">
        <v>0</v>
      </c>
    </row>
    <row r="562" spans="1:28" x14ac:dyDescent="0.3">
      <c r="A562" s="1">
        <v>44083</v>
      </c>
      <c r="B562" t="s">
        <v>216</v>
      </c>
      <c r="C562">
        <v>1</v>
      </c>
      <c r="D562">
        <v>0</v>
      </c>
      <c r="E562">
        <v>0</v>
      </c>
      <c r="F562">
        <v>0</v>
      </c>
      <c r="G562">
        <v>0</v>
      </c>
      <c r="H562">
        <v>0</v>
      </c>
      <c r="I562">
        <v>0</v>
      </c>
      <c r="J562">
        <v>0</v>
      </c>
      <c r="K562">
        <v>0</v>
      </c>
      <c r="L562">
        <v>0</v>
      </c>
      <c r="M562">
        <v>64460</v>
      </c>
      <c r="N562" t="s">
        <v>217</v>
      </c>
      <c r="O562" t="s">
        <v>218</v>
      </c>
      <c r="P562">
        <v>0</v>
      </c>
      <c r="Q562">
        <v>0</v>
      </c>
      <c r="R562">
        <v>0</v>
      </c>
      <c r="S562">
        <v>0</v>
      </c>
      <c r="T562">
        <v>0</v>
      </c>
      <c r="U562">
        <v>0</v>
      </c>
      <c r="V562">
        <v>0</v>
      </c>
      <c r="W562">
        <v>0</v>
      </c>
      <c r="X562">
        <v>0</v>
      </c>
      <c r="Y562">
        <v>0</v>
      </c>
      <c r="Z562">
        <v>0</v>
      </c>
      <c r="AA562">
        <v>0</v>
      </c>
      <c r="AB562">
        <v>0</v>
      </c>
    </row>
    <row r="563" spans="1:28" x14ac:dyDescent="0.3">
      <c r="A563" s="1">
        <v>44083</v>
      </c>
      <c r="B563" t="s">
        <v>120</v>
      </c>
      <c r="C563">
        <v>1</v>
      </c>
      <c r="D563">
        <v>0</v>
      </c>
      <c r="E563">
        <v>0</v>
      </c>
      <c r="F563">
        <v>0</v>
      </c>
      <c r="G563">
        <v>0</v>
      </c>
      <c r="H563">
        <v>0</v>
      </c>
      <c r="I563">
        <v>0</v>
      </c>
      <c r="J563">
        <v>0</v>
      </c>
      <c r="K563">
        <v>0</v>
      </c>
      <c r="L563">
        <v>0</v>
      </c>
      <c r="M563">
        <v>154911</v>
      </c>
      <c r="N563" t="s">
        <v>121</v>
      </c>
      <c r="O563" t="s">
        <v>122</v>
      </c>
      <c r="P563">
        <v>0</v>
      </c>
      <c r="Q563">
        <v>0</v>
      </c>
      <c r="R563">
        <v>0</v>
      </c>
      <c r="S563">
        <v>0</v>
      </c>
      <c r="T563">
        <v>0</v>
      </c>
      <c r="U563">
        <v>0</v>
      </c>
      <c r="V563">
        <v>0</v>
      </c>
      <c r="W563">
        <v>0</v>
      </c>
      <c r="X563">
        <v>0</v>
      </c>
      <c r="Y563">
        <v>0</v>
      </c>
      <c r="Z563">
        <v>0</v>
      </c>
      <c r="AA563">
        <v>0</v>
      </c>
      <c r="AB563">
        <v>0</v>
      </c>
    </row>
    <row r="564" spans="1:28" x14ac:dyDescent="0.3">
      <c r="A564" s="1">
        <v>44083</v>
      </c>
      <c r="B564" t="s">
        <v>126</v>
      </c>
      <c r="C564">
        <v>1</v>
      </c>
      <c r="D564">
        <v>0</v>
      </c>
      <c r="E564">
        <v>0</v>
      </c>
      <c r="F564">
        <v>0</v>
      </c>
      <c r="G564">
        <v>0</v>
      </c>
      <c r="H564">
        <v>0</v>
      </c>
      <c r="I564">
        <v>0</v>
      </c>
      <c r="J564">
        <v>0</v>
      </c>
      <c r="K564">
        <v>0</v>
      </c>
      <c r="L564">
        <v>0</v>
      </c>
      <c r="M564">
        <v>318676</v>
      </c>
      <c r="N564" t="s">
        <v>127</v>
      </c>
      <c r="O564" t="s">
        <v>128</v>
      </c>
      <c r="P564">
        <v>0</v>
      </c>
      <c r="Q564">
        <v>0</v>
      </c>
      <c r="R564">
        <v>0</v>
      </c>
      <c r="S564">
        <v>0</v>
      </c>
      <c r="T564">
        <v>0</v>
      </c>
      <c r="U564">
        <v>0</v>
      </c>
      <c r="V564">
        <v>0</v>
      </c>
      <c r="W564">
        <v>0</v>
      </c>
      <c r="X564">
        <v>0</v>
      </c>
      <c r="Y564">
        <v>0</v>
      </c>
      <c r="Z564">
        <v>0</v>
      </c>
      <c r="AA564">
        <v>0</v>
      </c>
      <c r="AB564">
        <v>0</v>
      </c>
    </row>
    <row r="565" spans="1:28" x14ac:dyDescent="0.3">
      <c r="A565" s="1">
        <v>44083</v>
      </c>
      <c r="B565" t="s">
        <v>219</v>
      </c>
      <c r="C565">
        <v>1</v>
      </c>
      <c r="D565">
        <v>0</v>
      </c>
      <c r="E565">
        <v>0</v>
      </c>
      <c r="F565">
        <v>0</v>
      </c>
      <c r="G565">
        <v>0</v>
      </c>
      <c r="H565">
        <v>0</v>
      </c>
      <c r="I565">
        <v>0</v>
      </c>
      <c r="J565">
        <v>0</v>
      </c>
      <c r="K565">
        <v>0</v>
      </c>
      <c r="L565">
        <v>0</v>
      </c>
      <c r="M565">
        <v>346980</v>
      </c>
      <c r="N565" t="s">
        <v>220</v>
      </c>
      <c r="O565" t="s">
        <v>221</v>
      </c>
      <c r="P565">
        <v>0</v>
      </c>
      <c r="Q565">
        <v>0</v>
      </c>
      <c r="R565">
        <v>0</v>
      </c>
      <c r="S565">
        <v>0</v>
      </c>
      <c r="T565">
        <v>0</v>
      </c>
      <c r="U565">
        <v>0</v>
      </c>
      <c r="V565">
        <v>0</v>
      </c>
      <c r="W565">
        <v>0</v>
      </c>
      <c r="X565">
        <v>0</v>
      </c>
      <c r="Y565">
        <v>0</v>
      </c>
      <c r="Z565">
        <v>0</v>
      </c>
      <c r="AA565">
        <v>0</v>
      </c>
      <c r="AB565">
        <v>0</v>
      </c>
    </row>
    <row r="566" spans="1:28" x14ac:dyDescent="0.3">
      <c r="A566" s="1">
        <v>44083</v>
      </c>
      <c r="B566" t="s">
        <v>222</v>
      </c>
      <c r="C566">
        <v>1</v>
      </c>
      <c r="D566">
        <v>0</v>
      </c>
      <c r="E566">
        <v>0</v>
      </c>
      <c r="F566">
        <v>0</v>
      </c>
      <c r="G566">
        <v>0</v>
      </c>
      <c r="H566">
        <v>0</v>
      </c>
      <c r="I566">
        <v>0</v>
      </c>
      <c r="J566">
        <v>0</v>
      </c>
      <c r="K566">
        <v>0</v>
      </c>
      <c r="L566">
        <v>0</v>
      </c>
      <c r="M566">
        <v>824466</v>
      </c>
      <c r="N566" t="s">
        <v>223</v>
      </c>
      <c r="O566" t="s">
        <v>224</v>
      </c>
      <c r="P566">
        <v>0</v>
      </c>
      <c r="Q566">
        <v>0</v>
      </c>
      <c r="R566">
        <v>0</v>
      </c>
      <c r="S566">
        <v>0</v>
      </c>
      <c r="T566">
        <v>0</v>
      </c>
      <c r="U566">
        <v>0</v>
      </c>
      <c r="V566">
        <v>0</v>
      </c>
      <c r="W566">
        <v>0</v>
      </c>
      <c r="X566">
        <v>0</v>
      </c>
      <c r="Y566">
        <v>0</v>
      </c>
      <c r="Z566">
        <v>0</v>
      </c>
      <c r="AA566">
        <v>0</v>
      </c>
      <c r="AB566">
        <v>0</v>
      </c>
    </row>
    <row r="567" spans="1:28" x14ac:dyDescent="0.3">
      <c r="A567" s="1">
        <v>44083</v>
      </c>
      <c r="B567" t="s">
        <v>81</v>
      </c>
      <c r="C567">
        <v>1</v>
      </c>
      <c r="D567">
        <v>0</v>
      </c>
      <c r="E567">
        <v>0</v>
      </c>
      <c r="F567">
        <v>0</v>
      </c>
      <c r="G567">
        <v>0</v>
      </c>
      <c r="H567">
        <v>0</v>
      </c>
      <c r="I567">
        <v>0</v>
      </c>
      <c r="J567">
        <v>0</v>
      </c>
      <c r="K567">
        <v>0</v>
      </c>
      <c r="L567">
        <v>0</v>
      </c>
      <c r="M567">
        <v>1225169</v>
      </c>
      <c r="N567" t="s">
        <v>82</v>
      </c>
      <c r="O567" t="s">
        <v>83</v>
      </c>
      <c r="P567">
        <v>0</v>
      </c>
      <c r="Q567">
        <v>0</v>
      </c>
      <c r="R567">
        <v>0</v>
      </c>
      <c r="S567">
        <v>0</v>
      </c>
      <c r="T567">
        <v>0</v>
      </c>
      <c r="U567">
        <v>0</v>
      </c>
      <c r="V567">
        <v>0</v>
      </c>
      <c r="W567">
        <v>0</v>
      </c>
      <c r="X567">
        <v>0</v>
      </c>
      <c r="Y567">
        <v>0</v>
      </c>
      <c r="Z567">
        <v>0</v>
      </c>
      <c r="AA567">
        <v>0</v>
      </c>
      <c r="AB567">
        <v>0</v>
      </c>
    </row>
    <row r="568" spans="1:28" x14ac:dyDescent="0.3">
      <c r="A568" s="1">
        <v>44083</v>
      </c>
      <c r="B568" t="s">
        <v>183</v>
      </c>
      <c r="C568">
        <v>1</v>
      </c>
      <c r="D568">
        <v>0</v>
      </c>
      <c r="E568">
        <v>0</v>
      </c>
      <c r="F568">
        <v>0</v>
      </c>
      <c r="G568">
        <v>0</v>
      </c>
      <c r="H568">
        <v>0</v>
      </c>
      <c r="I568">
        <v>0</v>
      </c>
      <c r="J568">
        <v>0</v>
      </c>
      <c r="K568">
        <v>0</v>
      </c>
      <c r="L568">
        <v>0</v>
      </c>
      <c r="M568">
        <v>1250612</v>
      </c>
      <c r="N568" t="s">
        <v>184</v>
      </c>
      <c r="O568" t="s">
        <v>185</v>
      </c>
      <c r="P568">
        <v>0</v>
      </c>
      <c r="Q568">
        <v>0</v>
      </c>
      <c r="R568">
        <v>0</v>
      </c>
      <c r="S568">
        <v>0</v>
      </c>
      <c r="T568">
        <v>0</v>
      </c>
      <c r="U568">
        <v>0</v>
      </c>
      <c r="V568">
        <v>0</v>
      </c>
      <c r="W568">
        <v>0</v>
      </c>
      <c r="X568">
        <v>0</v>
      </c>
      <c r="Y568">
        <v>0</v>
      </c>
      <c r="Z568">
        <v>0</v>
      </c>
      <c r="AA568">
        <v>0</v>
      </c>
      <c r="AB568">
        <v>0</v>
      </c>
    </row>
    <row r="569" spans="1:28" x14ac:dyDescent="0.3">
      <c r="A569" s="1">
        <v>44083</v>
      </c>
      <c r="B569" t="s">
        <v>108</v>
      </c>
      <c r="C569">
        <v>1</v>
      </c>
      <c r="D569">
        <v>0</v>
      </c>
      <c r="E569">
        <v>0</v>
      </c>
      <c r="F569">
        <v>0</v>
      </c>
      <c r="G569">
        <v>0</v>
      </c>
      <c r="H569">
        <v>0</v>
      </c>
      <c r="I569">
        <v>0</v>
      </c>
      <c r="J569">
        <v>0</v>
      </c>
      <c r="K569">
        <v>0</v>
      </c>
      <c r="L569">
        <v>0</v>
      </c>
      <c r="M569">
        <v>1273061</v>
      </c>
      <c r="N569" t="s">
        <v>109</v>
      </c>
      <c r="O569" t="s">
        <v>110</v>
      </c>
      <c r="P569">
        <v>0</v>
      </c>
      <c r="Q569">
        <v>0</v>
      </c>
      <c r="R569">
        <v>0</v>
      </c>
      <c r="S569">
        <v>0</v>
      </c>
      <c r="T569">
        <v>0</v>
      </c>
      <c r="U569">
        <v>0</v>
      </c>
      <c r="V569">
        <v>0</v>
      </c>
      <c r="W569">
        <v>0</v>
      </c>
      <c r="X569">
        <v>0</v>
      </c>
      <c r="Y569">
        <v>0</v>
      </c>
      <c r="Z569">
        <v>0</v>
      </c>
      <c r="AA569">
        <v>0</v>
      </c>
      <c r="AB569">
        <v>0</v>
      </c>
    </row>
    <row r="570" spans="1:28" x14ac:dyDescent="0.3">
      <c r="A570" s="1">
        <v>44083</v>
      </c>
      <c r="B570" t="s">
        <v>225</v>
      </c>
      <c r="C570">
        <v>1</v>
      </c>
      <c r="D570">
        <v>0</v>
      </c>
      <c r="E570">
        <v>0</v>
      </c>
      <c r="F570">
        <v>0</v>
      </c>
      <c r="G570">
        <v>0</v>
      </c>
      <c r="H570">
        <v>0</v>
      </c>
      <c r="I570">
        <v>0</v>
      </c>
      <c r="J570">
        <v>0</v>
      </c>
      <c r="K570">
        <v>0</v>
      </c>
      <c r="L570">
        <v>0</v>
      </c>
      <c r="M570">
        <v>1393373</v>
      </c>
      <c r="N570" t="s">
        <v>226</v>
      </c>
      <c r="O570" t="s">
        <v>227</v>
      </c>
      <c r="P570">
        <v>0</v>
      </c>
      <c r="Q570">
        <v>0</v>
      </c>
      <c r="R570">
        <v>0</v>
      </c>
      <c r="S570">
        <v>0</v>
      </c>
      <c r="T570">
        <v>0</v>
      </c>
      <c r="U570">
        <v>0</v>
      </c>
      <c r="V570">
        <v>0</v>
      </c>
      <c r="W570">
        <v>0</v>
      </c>
      <c r="X570">
        <v>0</v>
      </c>
      <c r="Y570">
        <v>0</v>
      </c>
      <c r="Z570">
        <v>0</v>
      </c>
      <c r="AA570">
        <v>0</v>
      </c>
      <c r="AB570">
        <v>0</v>
      </c>
    </row>
    <row r="571" spans="1:28" x14ac:dyDescent="0.3">
      <c r="A571" s="1">
        <v>44083</v>
      </c>
      <c r="B571" t="s">
        <v>228</v>
      </c>
      <c r="C571">
        <v>1</v>
      </c>
      <c r="D571">
        <v>0</v>
      </c>
      <c r="E571">
        <v>0</v>
      </c>
      <c r="F571">
        <v>0</v>
      </c>
      <c r="G571">
        <v>0</v>
      </c>
      <c r="H571">
        <v>0</v>
      </c>
      <c r="I571">
        <v>0</v>
      </c>
      <c r="J571">
        <v>0</v>
      </c>
      <c r="K571">
        <v>0</v>
      </c>
      <c r="L571">
        <v>0</v>
      </c>
      <c r="M571">
        <v>1597262</v>
      </c>
      <c r="N571" t="s">
        <v>229</v>
      </c>
      <c r="O571" t="s">
        <v>230</v>
      </c>
      <c r="P571">
        <v>0</v>
      </c>
      <c r="Q571">
        <v>0</v>
      </c>
      <c r="R571">
        <v>0</v>
      </c>
      <c r="S571">
        <v>0</v>
      </c>
      <c r="T571">
        <v>0</v>
      </c>
      <c r="U571">
        <v>0</v>
      </c>
      <c r="V571">
        <v>0</v>
      </c>
      <c r="W571">
        <v>0</v>
      </c>
      <c r="X571">
        <v>0</v>
      </c>
      <c r="Y571">
        <v>0</v>
      </c>
      <c r="Z571">
        <v>0</v>
      </c>
      <c r="AA571">
        <v>0</v>
      </c>
      <c r="AB571">
        <v>0</v>
      </c>
    </row>
    <row r="572" spans="1:28" x14ac:dyDescent="0.3">
      <c r="A572" s="1">
        <v>44083</v>
      </c>
      <c r="B572" t="s">
        <v>156</v>
      </c>
      <c r="C572">
        <v>1</v>
      </c>
      <c r="D572">
        <v>0</v>
      </c>
      <c r="E572">
        <v>0</v>
      </c>
      <c r="F572">
        <v>0</v>
      </c>
      <c r="G572">
        <v>0</v>
      </c>
      <c r="H572">
        <v>0</v>
      </c>
      <c r="I572">
        <v>0</v>
      </c>
      <c r="J572">
        <v>0</v>
      </c>
      <c r="K572">
        <v>0</v>
      </c>
      <c r="L572">
        <v>0</v>
      </c>
      <c r="M572">
        <v>1738672</v>
      </c>
      <c r="N572" t="s">
        <v>157</v>
      </c>
      <c r="O572" t="s">
        <v>158</v>
      </c>
      <c r="P572">
        <v>0</v>
      </c>
      <c r="Q572">
        <v>0</v>
      </c>
      <c r="R572">
        <v>0</v>
      </c>
      <c r="S572">
        <v>0</v>
      </c>
      <c r="T572">
        <v>0</v>
      </c>
      <c r="U572">
        <v>0</v>
      </c>
      <c r="V572">
        <v>0</v>
      </c>
      <c r="W572">
        <v>0</v>
      </c>
      <c r="X572">
        <v>0</v>
      </c>
      <c r="Y572">
        <v>0</v>
      </c>
      <c r="Z572">
        <v>0</v>
      </c>
      <c r="AA572">
        <v>0</v>
      </c>
      <c r="AB572">
        <v>0</v>
      </c>
    </row>
    <row r="573" spans="1:28" x14ac:dyDescent="0.3">
      <c r="A573" s="1">
        <v>44083</v>
      </c>
      <c r="B573" t="s">
        <v>174</v>
      </c>
      <c r="C573">
        <v>1</v>
      </c>
      <c r="D573">
        <v>0</v>
      </c>
      <c r="E573">
        <v>0</v>
      </c>
      <c r="F573">
        <v>0</v>
      </c>
      <c r="G573">
        <v>0</v>
      </c>
      <c r="H573">
        <v>0</v>
      </c>
      <c r="I573">
        <v>0</v>
      </c>
      <c r="J573">
        <v>0</v>
      </c>
      <c r="K573">
        <v>0</v>
      </c>
      <c r="L573">
        <v>0</v>
      </c>
      <c r="M573">
        <v>1778626</v>
      </c>
      <c r="N573" t="s">
        <v>175</v>
      </c>
      <c r="O573" t="s">
        <v>176</v>
      </c>
      <c r="P573">
        <v>0</v>
      </c>
      <c r="Q573">
        <v>0</v>
      </c>
      <c r="R573">
        <v>0</v>
      </c>
      <c r="S573">
        <v>0</v>
      </c>
      <c r="T573">
        <v>0</v>
      </c>
      <c r="U573">
        <v>0</v>
      </c>
      <c r="V573">
        <v>0</v>
      </c>
      <c r="W573">
        <v>0</v>
      </c>
      <c r="X573">
        <v>0</v>
      </c>
      <c r="Y573">
        <v>0</v>
      </c>
      <c r="Z573">
        <v>0</v>
      </c>
      <c r="AA573">
        <v>0</v>
      </c>
      <c r="AB573">
        <v>0</v>
      </c>
    </row>
    <row r="574" spans="1:28" x14ac:dyDescent="0.3">
      <c r="A574" s="1">
        <v>44083</v>
      </c>
      <c r="B574" t="s">
        <v>177</v>
      </c>
      <c r="C574">
        <v>1</v>
      </c>
      <c r="D574">
        <v>0</v>
      </c>
      <c r="E574">
        <v>0</v>
      </c>
      <c r="F574">
        <v>0</v>
      </c>
      <c r="G574">
        <v>0</v>
      </c>
      <c r="H574">
        <v>0</v>
      </c>
      <c r="I574">
        <v>0</v>
      </c>
      <c r="J574">
        <v>0</v>
      </c>
      <c r="K574">
        <v>0</v>
      </c>
      <c r="L574">
        <v>0</v>
      </c>
      <c r="M574">
        <v>1869309</v>
      </c>
      <c r="N574" t="s">
        <v>178</v>
      </c>
      <c r="O574" t="s">
        <v>179</v>
      </c>
      <c r="P574">
        <v>0</v>
      </c>
      <c r="Q574">
        <v>0</v>
      </c>
      <c r="R574">
        <v>0</v>
      </c>
      <c r="S574">
        <v>0</v>
      </c>
      <c r="T574">
        <v>0</v>
      </c>
      <c r="U574">
        <v>0</v>
      </c>
      <c r="V574">
        <v>0</v>
      </c>
      <c r="W574">
        <v>0</v>
      </c>
      <c r="X574">
        <v>0</v>
      </c>
      <c r="Y574">
        <v>0</v>
      </c>
      <c r="Z574">
        <v>0</v>
      </c>
      <c r="AA574">
        <v>0</v>
      </c>
      <c r="AB574">
        <v>0</v>
      </c>
    </row>
    <row r="575" spans="1:28" x14ac:dyDescent="0.3">
      <c r="A575" s="1">
        <v>44083</v>
      </c>
      <c r="B575" t="s">
        <v>159</v>
      </c>
      <c r="C575">
        <v>1</v>
      </c>
      <c r="D575">
        <v>0</v>
      </c>
      <c r="E575">
        <v>0</v>
      </c>
      <c r="F575">
        <v>0</v>
      </c>
      <c r="G575">
        <v>0</v>
      </c>
      <c r="H575">
        <v>0</v>
      </c>
      <c r="I575">
        <v>0</v>
      </c>
      <c r="J575">
        <v>0</v>
      </c>
      <c r="K575">
        <v>0</v>
      </c>
      <c r="L575">
        <v>0</v>
      </c>
      <c r="M575">
        <v>2029250</v>
      </c>
      <c r="N575" t="s">
        <v>160</v>
      </c>
      <c r="O575" t="s">
        <v>161</v>
      </c>
      <c r="P575">
        <v>0</v>
      </c>
      <c r="Q575">
        <v>0</v>
      </c>
      <c r="R575">
        <v>0</v>
      </c>
      <c r="S575">
        <v>0</v>
      </c>
      <c r="T575">
        <v>0</v>
      </c>
      <c r="U575">
        <v>0</v>
      </c>
      <c r="V575">
        <v>0</v>
      </c>
      <c r="W575">
        <v>0</v>
      </c>
      <c r="X575">
        <v>0</v>
      </c>
      <c r="Y575">
        <v>0</v>
      </c>
      <c r="Z575">
        <v>0</v>
      </c>
      <c r="AA575">
        <v>0</v>
      </c>
      <c r="AB575">
        <v>0</v>
      </c>
    </row>
    <row r="576" spans="1:28" x14ac:dyDescent="0.3">
      <c r="A576" s="1">
        <v>44083</v>
      </c>
      <c r="B576" t="s">
        <v>231</v>
      </c>
      <c r="C576">
        <v>1</v>
      </c>
      <c r="D576">
        <v>0</v>
      </c>
      <c r="E576">
        <v>0</v>
      </c>
      <c r="F576">
        <v>0</v>
      </c>
      <c r="G576">
        <v>0</v>
      </c>
      <c r="H576">
        <v>0</v>
      </c>
      <c r="I576">
        <v>0</v>
      </c>
      <c r="J576">
        <v>0</v>
      </c>
      <c r="K576">
        <v>0</v>
      </c>
      <c r="L576">
        <v>0</v>
      </c>
      <c r="M576">
        <v>2058900</v>
      </c>
      <c r="N576" t="s">
        <v>232</v>
      </c>
      <c r="O576" t="s">
        <v>233</v>
      </c>
      <c r="P576">
        <v>0</v>
      </c>
      <c r="Q576">
        <v>0</v>
      </c>
      <c r="R576">
        <v>0</v>
      </c>
      <c r="S576">
        <v>0</v>
      </c>
      <c r="T576">
        <v>0</v>
      </c>
      <c r="U576">
        <v>0</v>
      </c>
      <c r="V576">
        <v>0</v>
      </c>
      <c r="W576">
        <v>0</v>
      </c>
      <c r="X576">
        <v>0</v>
      </c>
      <c r="Y576">
        <v>0</v>
      </c>
      <c r="Z576">
        <v>0</v>
      </c>
      <c r="AA576">
        <v>0</v>
      </c>
      <c r="AB576">
        <v>0</v>
      </c>
    </row>
    <row r="577" spans="1:28" x14ac:dyDescent="0.3">
      <c r="A577" s="1">
        <v>44083</v>
      </c>
      <c r="B577" t="s">
        <v>147</v>
      </c>
      <c r="C577">
        <v>1</v>
      </c>
      <c r="D577">
        <v>0</v>
      </c>
      <c r="E577">
        <v>0</v>
      </c>
      <c r="F577">
        <v>0</v>
      </c>
      <c r="G577">
        <v>0</v>
      </c>
      <c r="H577">
        <v>0</v>
      </c>
      <c r="I577">
        <v>0</v>
      </c>
      <c r="J577">
        <v>0</v>
      </c>
      <c r="K577">
        <v>0</v>
      </c>
      <c r="L577">
        <v>0</v>
      </c>
      <c r="M577">
        <v>2075116</v>
      </c>
      <c r="N577" t="s">
        <v>148</v>
      </c>
      <c r="O577" t="s">
        <v>149</v>
      </c>
      <c r="P577">
        <v>0</v>
      </c>
      <c r="Q577">
        <v>0</v>
      </c>
      <c r="R577">
        <v>0</v>
      </c>
      <c r="S577">
        <v>0</v>
      </c>
      <c r="T577">
        <v>0</v>
      </c>
      <c r="U577">
        <v>0</v>
      </c>
      <c r="V577">
        <v>0</v>
      </c>
      <c r="W577">
        <v>0</v>
      </c>
      <c r="X577">
        <v>0</v>
      </c>
      <c r="Y577">
        <v>0</v>
      </c>
      <c r="Z577">
        <v>0</v>
      </c>
      <c r="AA577">
        <v>0</v>
      </c>
      <c r="AB577">
        <v>0</v>
      </c>
    </row>
    <row r="578" spans="1:28" x14ac:dyDescent="0.3">
      <c r="A578" s="1">
        <v>44083</v>
      </c>
      <c r="B578" t="s">
        <v>198</v>
      </c>
      <c r="C578">
        <v>1</v>
      </c>
      <c r="D578">
        <v>0</v>
      </c>
      <c r="E578">
        <v>0</v>
      </c>
      <c r="F578">
        <v>0</v>
      </c>
      <c r="G578">
        <v>0</v>
      </c>
      <c r="H578">
        <v>0</v>
      </c>
      <c r="I578">
        <v>0</v>
      </c>
      <c r="J578">
        <v>0</v>
      </c>
      <c r="K578">
        <v>0</v>
      </c>
      <c r="L578">
        <v>0</v>
      </c>
      <c r="M578">
        <v>2292146</v>
      </c>
      <c r="N578" t="s">
        <v>199</v>
      </c>
      <c r="O578" t="s">
        <v>200</v>
      </c>
      <c r="P578">
        <v>0</v>
      </c>
      <c r="Q578">
        <v>0</v>
      </c>
      <c r="R578">
        <v>0</v>
      </c>
      <c r="S578">
        <v>0</v>
      </c>
      <c r="T578">
        <v>0</v>
      </c>
      <c r="U578">
        <v>0</v>
      </c>
      <c r="V578">
        <v>0</v>
      </c>
      <c r="W578">
        <v>0</v>
      </c>
      <c r="X578">
        <v>0</v>
      </c>
      <c r="Y578">
        <v>0</v>
      </c>
      <c r="Z578">
        <v>0</v>
      </c>
      <c r="AA578">
        <v>0</v>
      </c>
      <c r="AB578">
        <v>0</v>
      </c>
    </row>
    <row r="579" spans="1:28" x14ac:dyDescent="0.3">
      <c r="A579" s="1">
        <v>44083</v>
      </c>
      <c r="B579" t="s">
        <v>117</v>
      </c>
      <c r="C579">
        <v>1</v>
      </c>
      <c r="D579">
        <v>0</v>
      </c>
      <c r="E579">
        <v>0</v>
      </c>
      <c r="F579">
        <v>0</v>
      </c>
      <c r="G579">
        <v>0</v>
      </c>
      <c r="H579">
        <v>0</v>
      </c>
      <c r="I579">
        <v>0</v>
      </c>
      <c r="J579">
        <v>0</v>
      </c>
      <c r="K579">
        <v>0</v>
      </c>
      <c r="L579">
        <v>0</v>
      </c>
      <c r="M579">
        <v>2316883</v>
      </c>
      <c r="N579" t="s">
        <v>118</v>
      </c>
      <c r="O579" t="s">
        <v>119</v>
      </c>
      <c r="P579">
        <v>0</v>
      </c>
      <c r="Q579">
        <v>0</v>
      </c>
      <c r="R579">
        <v>0</v>
      </c>
      <c r="S579">
        <v>0</v>
      </c>
      <c r="T579">
        <v>0</v>
      </c>
      <c r="U579">
        <v>0</v>
      </c>
      <c r="V579">
        <v>0</v>
      </c>
      <c r="W579">
        <v>0</v>
      </c>
      <c r="X579">
        <v>0</v>
      </c>
      <c r="Y579">
        <v>0</v>
      </c>
      <c r="Z579">
        <v>0</v>
      </c>
      <c r="AA579">
        <v>0</v>
      </c>
      <c r="AB579">
        <v>0</v>
      </c>
    </row>
    <row r="580" spans="1:28" x14ac:dyDescent="0.3">
      <c r="A580" s="1">
        <v>44083</v>
      </c>
      <c r="B580" t="s">
        <v>201</v>
      </c>
      <c r="C580">
        <v>1</v>
      </c>
      <c r="D580">
        <v>0</v>
      </c>
      <c r="E580">
        <v>0</v>
      </c>
      <c r="F580">
        <v>0</v>
      </c>
      <c r="G580">
        <v>0</v>
      </c>
      <c r="H580">
        <v>0</v>
      </c>
      <c r="I580">
        <v>0</v>
      </c>
      <c r="J580">
        <v>0</v>
      </c>
      <c r="K580">
        <v>0</v>
      </c>
      <c r="L580">
        <v>0</v>
      </c>
      <c r="M580">
        <v>2334633</v>
      </c>
      <c r="N580" t="s">
        <v>202</v>
      </c>
      <c r="O580" t="s">
        <v>203</v>
      </c>
      <c r="P580">
        <v>0</v>
      </c>
      <c r="Q580">
        <v>0</v>
      </c>
      <c r="R580">
        <v>0</v>
      </c>
      <c r="S580">
        <v>0</v>
      </c>
      <c r="T580">
        <v>0</v>
      </c>
      <c r="U580">
        <v>0</v>
      </c>
      <c r="V580">
        <v>0</v>
      </c>
      <c r="W580">
        <v>0</v>
      </c>
      <c r="X580">
        <v>0</v>
      </c>
      <c r="Y580">
        <v>0</v>
      </c>
      <c r="Z580">
        <v>0</v>
      </c>
      <c r="AA580">
        <v>0</v>
      </c>
      <c r="AB580">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E08F-0AF2-41F5-A72E-E32A1C69F6D2}">
  <dimension ref="A1:J12"/>
  <sheetViews>
    <sheetView workbookViewId="0">
      <pane ySplit="1" topLeftCell="A2" activePane="bottomLeft" state="frozen"/>
      <selection pane="bottomLeft" activeCell="C6" sqref="C6"/>
    </sheetView>
  </sheetViews>
  <sheetFormatPr defaultColWidth="8.88671875" defaultRowHeight="14.4" x14ac:dyDescent="0.3"/>
  <cols>
    <col min="1" max="2" width="10.6640625" bestFit="1" customWidth="1"/>
    <col min="3" max="3" width="11.5546875" bestFit="1" customWidth="1"/>
    <col min="4" max="4" width="10.5546875" bestFit="1" customWidth="1"/>
  </cols>
  <sheetData>
    <row r="1" spans="1:10" x14ac:dyDescent="0.3">
      <c r="A1" s="35" t="s">
        <v>312</v>
      </c>
      <c r="B1" s="35" t="s">
        <v>313</v>
      </c>
      <c r="C1" s="35" t="s">
        <v>314</v>
      </c>
    </row>
    <row r="2" spans="1:10" x14ac:dyDescent="0.3">
      <c r="A2" s="36">
        <v>44074</v>
      </c>
      <c r="B2" s="36">
        <v>44080</v>
      </c>
      <c r="C2" s="37">
        <v>134603.05999401698</v>
      </c>
    </row>
    <row r="3" spans="1:10" x14ac:dyDescent="0.3">
      <c r="A3" s="36">
        <v>44081</v>
      </c>
      <c r="B3" s="36">
        <v>44087</v>
      </c>
      <c r="C3" s="37">
        <v>134603.05999401698</v>
      </c>
    </row>
    <row r="11" spans="1:10" x14ac:dyDescent="0.3">
      <c r="C11" s="1"/>
      <c r="D11" s="1"/>
    </row>
    <row r="12" spans="1:10" x14ac:dyDescent="0.3">
      <c r="C12" s="1"/>
      <c r="D12" s="1"/>
      <c r="J12">
        <f>SUMIFS(Table2[[#All],[start_date]],Table2[[#All],[end_date]],Overall_Perf!$D$2,Table2[[#All],[ga_revenue]],Overall_Perf!$D$3)</f>
        <v>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Charts</vt:lpstr>
      <vt:lpstr>Overall_Perf</vt:lpstr>
      <vt:lpstr>Table</vt:lpstr>
      <vt:lpstr>Top_Partner</vt:lpstr>
      <vt:lpstr>Affiliate_Daily</vt:lpstr>
      <vt:lpstr>Affiliate</vt:lpstr>
      <vt:lpstr>Google Analytics</vt:lpstr>
      <vt:lpstr>Table1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Diwakar Sharma</dc:creator>
  <cp:lastModifiedBy>Diwakar Sharma</cp:lastModifiedBy>
  <dcterms:created xsi:type="dcterms:W3CDTF">2020-12-14T21:29:27Z</dcterms:created>
  <dcterms:modified xsi:type="dcterms:W3CDTF">2020-12-20T22:05:08Z</dcterms:modified>
</cp:coreProperties>
</file>